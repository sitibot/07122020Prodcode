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OSMalaysia_MainFramework\DevCode_Reconcile_RPA\MACRO\"/>
    </mc:Choice>
  </mc:AlternateContent>
  <xr:revisionPtr revIDLastSave="0" documentId="13_ncr:1_{01B3EDD8-DCD8-4077-A151-B594492EFFF2}" xr6:coauthVersionLast="45" xr6:coauthVersionMax="45" xr10:uidLastSave="{00000000-0000-0000-0000-000000000000}"/>
  <bookViews>
    <workbookView xWindow="390" yWindow="390" windowWidth="17280" windowHeight="6735" xr2:uid="{7C17A896-D9F8-4801-A30D-7296FC704F99}"/>
  </bookViews>
  <sheets>
    <sheet name="Sheet1" sheetId="62" r:id="rId1"/>
    <sheet name="SelectRadioButton" sheetId="27" r:id="rId2"/>
  </sheets>
  <definedNames>
    <definedName name="_xlnm._FilterDatabase" localSheetId="0" hidden="1">Sheet1!$A$1:$I$1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62" l="1"/>
  <c r="I4" i="62"/>
  <c r="I5" i="62"/>
  <c r="I6" i="62"/>
  <c r="I7" i="62"/>
  <c r="I8" i="62"/>
  <c r="I9" i="62"/>
  <c r="I10" i="62"/>
  <c r="I11" i="62"/>
  <c r="I12" i="62"/>
  <c r="I13" i="62"/>
  <c r="I14" i="62"/>
  <c r="I15" i="62"/>
  <c r="I16" i="62"/>
  <c r="I17" i="62"/>
  <c r="I18" i="62"/>
  <c r="I19" i="62"/>
  <c r="I20" i="62"/>
  <c r="I21" i="62"/>
  <c r="I22" i="62"/>
  <c r="I23" i="62"/>
  <c r="I24" i="62"/>
  <c r="I25" i="62"/>
  <c r="I26" i="62"/>
  <c r="I27" i="62"/>
  <c r="I28" i="62"/>
  <c r="I29" i="62"/>
  <c r="I30" i="62"/>
  <c r="I31" i="62"/>
  <c r="I32" i="62"/>
  <c r="I33" i="62"/>
  <c r="I34" i="62"/>
  <c r="I35" i="62"/>
  <c r="I36" i="62"/>
  <c r="I37" i="62"/>
  <c r="I38" i="62"/>
  <c r="I39" i="62"/>
  <c r="I40" i="62"/>
  <c r="I41" i="62"/>
  <c r="I42" i="62"/>
  <c r="I43" i="62"/>
  <c r="I44" i="62"/>
  <c r="I45" i="62"/>
  <c r="I46" i="62"/>
  <c r="I47" i="62"/>
  <c r="I48" i="62"/>
  <c r="I49" i="62"/>
  <c r="I50" i="62"/>
  <c r="I51" i="62"/>
  <c r="I52" i="62"/>
  <c r="I53" i="62"/>
  <c r="I54" i="62"/>
  <c r="I55" i="62"/>
  <c r="I56" i="62"/>
  <c r="I57" i="62"/>
  <c r="I58" i="62"/>
  <c r="I59" i="62"/>
  <c r="I60" i="62"/>
  <c r="I61" i="62"/>
  <c r="I62" i="62"/>
  <c r="I63" i="62"/>
  <c r="I64" i="62"/>
  <c r="I65" i="62"/>
  <c r="I66" i="62"/>
  <c r="I67" i="62"/>
  <c r="I68" i="62"/>
  <c r="I69" i="62"/>
  <c r="I70" i="62"/>
  <c r="I71" i="62"/>
  <c r="I72" i="62"/>
  <c r="I73" i="62"/>
  <c r="I74" i="62"/>
  <c r="I75" i="62"/>
  <c r="I76" i="62"/>
  <c r="I77" i="62"/>
  <c r="I78" i="62"/>
  <c r="I79" i="62"/>
  <c r="I80" i="62"/>
  <c r="I81" i="62"/>
  <c r="I82" i="62"/>
  <c r="I83" i="62"/>
  <c r="I84" i="62"/>
  <c r="I85" i="62"/>
  <c r="I86" i="62"/>
  <c r="I87" i="62"/>
  <c r="I88" i="62"/>
  <c r="I89" i="62"/>
  <c r="I90" i="62"/>
  <c r="I91" i="62"/>
  <c r="I92" i="62"/>
  <c r="I93" i="62"/>
  <c r="I94" i="62"/>
  <c r="I95" i="62"/>
  <c r="I96" i="62"/>
  <c r="I97" i="62"/>
  <c r="I98" i="62"/>
  <c r="I99" i="62"/>
  <c r="I100" i="62"/>
  <c r="I101" i="62"/>
  <c r="I102" i="62"/>
  <c r="I103" i="62"/>
  <c r="I104" i="62"/>
  <c r="I105" i="62"/>
  <c r="I106" i="62"/>
  <c r="I107" i="62"/>
  <c r="I108" i="62"/>
  <c r="I109" i="62"/>
  <c r="I110" i="62"/>
  <c r="I111" i="62"/>
  <c r="I112" i="62"/>
  <c r="I113" i="62"/>
  <c r="I114" i="62"/>
  <c r="I115" i="62"/>
  <c r="I116" i="62"/>
  <c r="I117" i="62"/>
  <c r="I118" i="62"/>
  <c r="I119" i="62"/>
  <c r="I120" i="62"/>
  <c r="I121" i="62"/>
  <c r="I122" i="62"/>
  <c r="I123" i="62"/>
  <c r="I124" i="62"/>
  <c r="I125" i="62"/>
  <c r="I126" i="62"/>
  <c r="I127" i="62"/>
  <c r="I128" i="62"/>
  <c r="I129" i="62"/>
  <c r="I130" i="62"/>
  <c r="I131" i="62"/>
  <c r="I132" i="62"/>
  <c r="I133" i="62"/>
  <c r="I134" i="62"/>
  <c r="I135" i="62"/>
  <c r="I136" i="62"/>
  <c r="I137" i="62"/>
  <c r="I138" i="62"/>
  <c r="I139" i="62"/>
  <c r="I140" i="62"/>
  <c r="I141" i="62"/>
  <c r="I142" i="62"/>
  <c r="I143" i="62"/>
  <c r="I144" i="62"/>
  <c r="I145" i="62"/>
  <c r="I146" i="62"/>
  <c r="I147" i="62"/>
  <c r="I148" i="62"/>
  <c r="I149" i="62"/>
  <c r="I150" i="62"/>
  <c r="I151" i="62"/>
  <c r="I152" i="62"/>
  <c r="I153" i="62"/>
  <c r="I154" i="62"/>
  <c r="I155" i="62"/>
  <c r="I156" i="62"/>
  <c r="I157" i="62"/>
  <c r="I158" i="62"/>
  <c r="I159" i="62"/>
  <c r="I160" i="62"/>
  <c r="I161" i="62"/>
  <c r="I162" i="62"/>
  <c r="I163" i="62"/>
  <c r="I164" i="62"/>
  <c r="I165" i="62"/>
  <c r="I166" i="62"/>
  <c r="I167" i="62"/>
  <c r="I168" i="62"/>
  <c r="I169" i="62"/>
  <c r="I170" i="62"/>
  <c r="I171" i="62"/>
  <c r="I172" i="62"/>
  <c r="I173" i="62"/>
  <c r="I174" i="62"/>
  <c r="I175" i="62"/>
  <c r="I176" i="62"/>
  <c r="I177" i="62"/>
  <c r="I178" i="62"/>
  <c r="I179" i="62"/>
  <c r="I180" i="62"/>
  <c r="I181" i="62"/>
  <c r="I182" i="62"/>
  <c r="I183" i="62"/>
  <c r="I184" i="62"/>
  <c r="I185" i="62"/>
  <c r="I186" i="62"/>
  <c r="I187" i="62"/>
  <c r="I188" i="62"/>
  <c r="I189" i="62"/>
  <c r="I190" i="62"/>
  <c r="I191" i="62"/>
  <c r="I192" i="62"/>
  <c r="I193" i="62"/>
  <c r="I194" i="62"/>
  <c r="I195" i="62"/>
  <c r="I196" i="62"/>
  <c r="I197" i="62"/>
  <c r="I198" i="62"/>
  <c r="I199" i="62"/>
  <c r="I200" i="62"/>
  <c r="I201" i="62"/>
  <c r="I202" i="62"/>
  <c r="I203" i="62"/>
  <c r="I204" i="62"/>
  <c r="I205" i="62"/>
  <c r="I206" i="62"/>
  <c r="I207" i="62"/>
  <c r="I208" i="62"/>
  <c r="I209" i="62"/>
  <c r="I210" i="62"/>
  <c r="I211" i="62"/>
  <c r="I212" i="62"/>
  <c r="I213" i="62"/>
  <c r="I214" i="62"/>
  <c r="I215" i="62"/>
  <c r="I216" i="62"/>
  <c r="I217" i="62"/>
  <c r="I218" i="62"/>
  <c r="I219" i="62"/>
  <c r="I220" i="62"/>
  <c r="I221" i="62"/>
  <c r="I222" i="62"/>
  <c r="I223" i="62"/>
  <c r="I224" i="62"/>
  <c r="I225" i="62"/>
  <c r="I226" i="62"/>
  <c r="I227" i="62"/>
  <c r="I228" i="62"/>
  <c r="I229" i="62"/>
  <c r="I230" i="62"/>
  <c r="I231" i="62"/>
  <c r="I232" i="62"/>
  <c r="I233" i="62"/>
  <c r="I234" i="62"/>
  <c r="I235" i="62"/>
  <c r="I236" i="62"/>
  <c r="I237" i="62"/>
  <c r="I238" i="62"/>
  <c r="I239" i="62"/>
  <c r="I240" i="62"/>
  <c r="I241" i="62"/>
  <c r="I242" i="62"/>
  <c r="I243" i="62"/>
  <c r="I244" i="62"/>
  <c r="I245" i="62"/>
  <c r="I246" i="62"/>
  <c r="I247" i="62"/>
  <c r="I248" i="62"/>
  <c r="I249" i="62"/>
  <c r="I250" i="62"/>
  <c r="I251" i="62"/>
  <c r="I252" i="62"/>
  <c r="I253" i="62"/>
  <c r="I254" i="62"/>
  <c r="I255" i="62"/>
  <c r="I256" i="62"/>
  <c r="I257" i="62"/>
  <c r="I258" i="62"/>
  <c r="I259" i="62"/>
  <c r="I260" i="62"/>
  <c r="I261" i="62"/>
  <c r="I262" i="62"/>
  <c r="I263" i="62"/>
  <c r="I264" i="62"/>
  <c r="I265" i="62"/>
  <c r="I266" i="62"/>
  <c r="I267" i="62"/>
  <c r="I268" i="62"/>
  <c r="I269" i="62"/>
  <c r="I270" i="62"/>
  <c r="I271" i="62"/>
  <c r="I272" i="62"/>
  <c r="I273" i="62"/>
  <c r="I274" i="62"/>
  <c r="I275" i="62"/>
  <c r="I276" i="62"/>
  <c r="I277" i="62"/>
  <c r="I278" i="62"/>
  <c r="I279" i="62"/>
  <c r="I280" i="62"/>
  <c r="I281" i="62"/>
  <c r="I282" i="62"/>
  <c r="I283" i="62"/>
  <c r="I284" i="62"/>
  <c r="I285" i="62"/>
  <c r="I286" i="62"/>
  <c r="I287" i="62"/>
  <c r="I288" i="62"/>
  <c r="I289" i="62"/>
  <c r="I290" i="62"/>
  <c r="I291" i="62"/>
  <c r="I292" i="62"/>
  <c r="I293" i="62"/>
  <c r="I294" i="62"/>
  <c r="I295" i="62"/>
  <c r="I296" i="62"/>
  <c r="I297" i="62"/>
  <c r="I298" i="62"/>
  <c r="I299" i="62"/>
  <c r="I300" i="62"/>
  <c r="I301" i="62"/>
  <c r="I302" i="62"/>
  <c r="I303" i="62"/>
  <c r="I304" i="62"/>
  <c r="I305" i="62"/>
  <c r="I306" i="62"/>
  <c r="I307" i="62"/>
  <c r="I308" i="62"/>
  <c r="I309" i="62"/>
  <c r="I310" i="62"/>
  <c r="I311" i="62"/>
  <c r="I312" i="62"/>
  <c r="I313" i="62"/>
  <c r="I314" i="62"/>
  <c r="I315" i="62"/>
  <c r="I316" i="62"/>
  <c r="I317" i="62"/>
  <c r="I318" i="62"/>
  <c r="I319" i="62"/>
  <c r="I320" i="62"/>
  <c r="I321" i="62"/>
  <c r="I322" i="62"/>
  <c r="I323" i="62"/>
  <c r="I324" i="62"/>
  <c r="I325" i="62"/>
  <c r="I326" i="62"/>
  <c r="I327" i="62"/>
  <c r="I328" i="62"/>
  <c r="I329" i="62"/>
  <c r="I330" i="62"/>
  <c r="I331" i="62"/>
  <c r="I332" i="62"/>
  <c r="I333" i="62"/>
  <c r="I334" i="62"/>
  <c r="I335" i="62"/>
  <c r="I336" i="62"/>
  <c r="I337" i="62"/>
  <c r="I338" i="62"/>
  <c r="I339" i="62"/>
  <c r="I340" i="62"/>
  <c r="I341" i="62"/>
  <c r="I342" i="62"/>
  <c r="I343" i="62"/>
  <c r="I344" i="62"/>
  <c r="I345" i="62"/>
  <c r="I346" i="62"/>
  <c r="I347" i="62"/>
  <c r="I348" i="62"/>
  <c r="I349" i="62"/>
  <c r="I350" i="62"/>
  <c r="I351" i="62"/>
  <c r="I352" i="62"/>
  <c r="I353" i="62"/>
  <c r="I354" i="62"/>
  <c r="I355" i="62"/>
  <c r="I356" i="62"/>
  <c r="I357" i="62"/>
  <c r="I358" i="62"/>
  <c r="I359" i="62"/>
  <c r="I360" i="62"/>
  <c r="I361" i="62"/>
  <c r="I362" i="62"/>
  <c r="I363" i="62"/>
  <c r="I364" i="62"/>
  <c r="I365" i="62"/>
  <c r="I366" i="62"/>
  <c r="I367" i="62"/>
  <c r="I368" i="62"/>
  <c r="I369" i="62"/>
  <c r="I370" i="62"/>
  <c r="I371" i="62"/>
  <c r="I372" i="62"/>
  <c r="I373" i="62"/>
  <c r="I374" i="62"/>
  <c r="I375" i="62"/>
  <c r="I376" i="62"/>
  <c r="I377" i="62"/>
  <c r="I378" i="62"/>
  <c r="I379" i="62"/>
  <c r="I380" i="62"/>
  <c r="I381" i="62"/>
  <c r="I382" i="62"/>
  <c r="I383" i="62"/>
  <c r="I384" i="62"/>
  <c r="I385" i="62"/>
  <c r="I386" i="62"/>
  <c r="I387" i="62"/>
  <c r="I388" i="62"/>
  <c r="I389" i="62"/>
  <c r="I390" i="62"/>
  <c r="I391" i="62"/>
  <c r="I392" i="62"/>
  <c r="I393" i="62"/>
  <c r="I394" i="62"/>
  <c r="I395" i="62"/>
  <c r="I396" i="62"/>
  <c r="I397" i="62"/>
  <c r="I398" i="62"/>
  <c r="I399" i="62"/>
  <c r="I400" i="62"/>
  <c r="I401" i="62"/>
  <c r="I402" i="62"/>
  <c r="I403" i="62"/>
  <c r="I404" i="62"/>
  <c r="I405" i="62"/>
  <c r="I406" i="62"/>
  <c r="I407" i="62"/>
  <c r="I408" i="62"/>
  <c r="I409" i="62"/>
  <c r="I410" i="62"/>
  <c r="I411" i="62"/>
  <c r="I412" i="62"/>
  <c r="I413" i="62"/>
  <c r="I414" i="62"/>
  <c r="I415" i="62"/>
  <c r="I416" i="62"/>
  <c r="I417" i="62"/>
  <c r="I418" i="62"/>
  <c r="I419" i="62"/>
  <c r="I420" i="62"/>
  <c r="I421" i="62"/>
  <c r="I422" i="62"/>
  <c r="I423" i="62"/>
  <c r="I424" i="62"/>
  <c r="I425" i="62"/>
  <c r="I426" i="62"/>
  <c r="I427" i="62"/>
  <c r="I428" i="62"/>
  <c r="I429" i="62"/>
  <c r="I430" i="62"/>
  <c r="I431" i="62"/>
  <c r="I432" i="62"/>
  <c r="I433" i="62"/>
  <c r="I434" i="62"/>
  <c r="I435" i="62"/>
  <c r="I436" i="62"/>
  <c r="I437" i="62"/>
  <c r="I438" i="62"/>
  <c r="I439" i="62"/>
  <c r="I440" i="62"/>
  <c r="I441" i="62"/>
  <c r="I442" i="62"/>
  <c r="I443" i="62"/>
  <c r="I444" i="62"/>
  <c r="I445" i="62"/>
  <c r="I446" i="62"/>
  <c r="I447" i="62"/>
  <c r="I448" i="62"/>
  <c r="I449" i="62"/>
  <c r="I450" i="62"/>
  <c r="I451" i="62"/>
  <c r="I452" i="62"/>
  <c r="I453" i="62"/>
  <c r="I454" i="62"/>
  <c r="I455" i="62"/>
  <c r="I456" i="62"/>
  <c r="I457" i="62"/>
  <c r="I458" i="62"/>
  <c r="I459" i="62"/>
  <c r="I460" i="62"/>
  <c r="I461" i="62"/>
  <c r="I462" i="62"/>
  <c r="I463" i="62"/>
  <c r="I464" i="62"/>
  <c r="I465" i="62"/>
  <c r="I466" i="62"/>
  <c r="I467" i="62"/>
  <c r="I468" i="62"/>
  <c r="I469" i="62"/>
  <c r="I470" i="62"/>
  <c r="I471" i="62"/>
  <c r="I472" i="62"/>
  <c r="I473" i="62"/>
  <c r="I474" i="62"/>
  <c r="I475" i="62"/>
  <c r="I476" i="62"/>
  <c r="I477" i="62"/>
  <c r="I478" i="62"/>
  <c r="I479" i="62"/>
  <c r="I480" i="62"/>
  <c r="I481" i="62"/>
  <c r="I482" i="62"/>
  <c r="I483" i="62"/>
  <c r="I484" i="62"/>
  <c r="I485" i="62"/>
  <c r="I486" i="62"/>
  <c r="I487" i="62"/>
  <c r="I488" i="62"/>
  <c r="I489" i="62"/>
  <c r="I490" i="62"/>
  <c r="I491" i="62"/>
  <c r="I492" i="62"/>
  <c r="I493" i="62"/>
  <c r="I494" i="62"/>
  <c r="I495" i="62"/>
  <c r="I496" i="62"/>
  <c r="I497" i="62"/>
  <c r="I498" i="62"/>
  <c r="I499" i="62"/>
  <c r="I500" i="62"/>
  <c r="I501" i="62"/>
  <c r="I502" i="62"/>
  <c r="I503" i="62"/>
  <c r="I504" i="62"/>
  <c r="I505" i="62"/>
  <c r="I506" i="62"/>
  <c r="I507" i="62"/>
  <c r="I508" i="62"/>
  <c r="I509" i="62"/>
  <c r="I510" i="62"/>
  <c r="I511" i="62"/>
  <c r="I512" i="62"/>
  <c r="I513" i="62"/>
  <c r="I514" i="62"/>
  <c r="I515" i="62"/>
  <c r="I516" i="62"/>
  <c r="I517" i="62"/>
  <c r="I518" i="62"/>
  <c r="I519" i="62"/>
  <c r="I520" i="62"/>
  <c r="I521" i="62"/>
  <c r="I522" i="62"/>
  <c r="I523" i="62"/>
  <c r="I524" i="62"/>
  <c r="I525" i="62"/>
  <c r="I526" i="62"/>
  <c r="I527" i="62"/>
  <c r="I528" i="62"/>
  <c r="I529" i="62"/>
  <c r="I530" i="62"/>
  <c r="I531" i="62"/>
  <c r="I532" i="62"/>
  <c r="I533" i="62"/>
  <c r="I534" i="62"/>
  <c r="I535" i="62"/>
  <c r="I536" i="62"/>
  <c r="I537" i="62"/>
  <c r="I538" i="62"/>
  <c r="I539" i="62"/>
  <c r="I540" i="62"/>
  <c r="I541" i="62"/>
  <c r="I542" i="62"/>
  <c r="I543" i="62"/>
  <c r="I544" i="62"/>
  <c r="I545" i="62"/>
  <c r="I546" i="62"/>
  <c r="I547" i="62"/>
  <c r="I548" i="62"/>
  <c r="I549" i="62"/>
  <c r="I550" i="62"/>
  <c r="I551" i="62"/>
  <c r="I552" i="62"/>
  <c r="I553" i="62"/>
  <c r="I554" i="62"/>
  <c r="I555" i="62"/>
  <c r="I556" i="62"/>
  <c r="I557" i="62"/>
  <c r="I558" i="62"/>
  <c r="I559" i="62"/>
  <c r="I560" i="62"/>
  <c r="I561" i="62"/>
  <c r="I562" i="62"/>
  <c r="I563" i="62"/>
  <c r="I564" i="62"/>
  <c r="I565" i="62"/>
  <c r="I566" i="62"/>
  <c r="I567" i="62"/>
  <c r="I568" i="62"/>
  <c r="I569" i="62"/>
  <c r="I570" i="62"/>
  <c r="I571" i="62"/>
  <c r="I572" i="62"/>
  <c r="I573" i="62"/>
  <c r="I574" i="62"/>
  <c r="I575" i="62"/>
  <c r="I576" i="62"/>
  <c r="I577" i="62"/>
  <c r="I578" i="62"/>
  <c r="I579" i="62"/>
  <c r="I580" i="62"/>
  <c r="I581" i="62"/>
  <c r="I582" i="62"/>
  <c r="I583" i="62"/>
  <c r="I584" i="62"/>
  <c r="I585" i="62"/>
  <c r="I586" i="62"/>
  <c r="I587" i="62"/>
  <c r="I588" i="62"/>
  <c r="I589" i="62"/>
  <c r="I590" i="62"/>
  <c r="I591" i="62"/>
  <c r="I592" i="62"/>
  <c r="I593" i="62"/>
  <c r="I594" i="62"/>
  <c r="I595" i="62"/>
  <c r="I596" i="62"/>
  <c r="I597" i="62"/>
  <c r="I598" i="62"/>
  <c r="I599" i="62"/>
  <c r="I600" i="62"/>
  <c r="I601" i="62"/>
  <c r="I602" i="62"/>
  <c r="I603" i="62"/>
  <c r="I604" i="62"/>
  <c r="I605" i="62"/>
  <c r="I606" i="62"/>
  <c r="I607" i="62"/>
  <c r="I608" i="62"/>
  <c r="I609" i="62"/>
  <c r="I610" i="62"/>
  <c r="I611" i="62"/>
  <c r="I612" i="62"/>
  <c r="I613" i="62"/>
  <c r="I614" i="62"/>
  <c r="I615" i="62"/>
  <c r="I616" i="62"/>
  <c r="I617" i="62"/>
  <c r="I618" i="62"/>
  <c r="I619" i="62"/>
  <c r="I620" i="62"/>
  <c r="I621" i="62"/>
  <c r="I622" i="62"/>
  <c r="I623" i="62"/>
  <c r="I624" i="62"/>
  <c r="I625" i="62"/>
  <c r="I626" i="62"/>
  <c r="I627" i="62"/>
  <c r="I628" i="62"/>
  <c r="I629" i="62"/>
  <c r="I630" i="62"/>
  <c r="I631" i="62"/>
  <c r="I632" i="62"/>
  <c r="I633" i="62"/>
  <c r="I634" i="62"/>
  <c r="I635" i="62"/>
  <c r="I636" i="62"/>
  <c r="I637" i="62"/>
  <c r="I638" i="62"/>
  <c r="I639" i="62"/>
  <c r="I640" i="62"/>
  <c r="I641" i="62"/>
  <c r="I642" i="62"/>
  <c r="I643" i="62"/>
  <c r="I644" i="62"/>
  <c r="I645" i="62"/>
  <c r="I646" i="62"/>
  <c r="I647" i="62"/>
  <c r="I648" i="62"/>
  <c r="I649" i="62"/>
  <c r="I650" i="62"/>
  <c r="I651" i="62"/>
  <c r="I652" i="62"/>
  <c r="I653" i="62"/>
  <c r="I654" i="62"/>
  <c r="I655" i="62"/>
  <c r="I656" i="62"/>
  <c r="I657" i="62"/>
  <c r="I658" i="62"/>
  <c r="I659" i="62"/>
  <c r="I660" i="62"/>
  <c r="I661" i="62"/>
  <c r="I662" i="62"/>
  <c r="I663" i="62"/>
  <c r="I664" i="62"/>
  <c r="I2" i="62"/>
  <c r="H3" i="62"/>
  <c r="H4" i="62"/>
  <c r="H5" i="62"/>
  <c r="H6" i="62"/>
  <c r="H7" i="62"/>
  <c r="H8" i="62"/>
  <c r="H9" i="62"/>
  <c r="H10" i="62"/>
  <c r="H11" i="62"/>
  <c r="H12" i="62"/>
  <c r="H13" i="62"/>
  <c r="H14" i="62"/>
  <c r="H15" i="62"/>
  <c r="H16" i="62"/>
  <c r="H17" i="62"/>
  <c r="H18" i="62"/>
  <c r="H19" i="62"/>
  <c r="H20" i="62"/>
  <c r="H21" i="62"/>
  <c r="H22" i="62"/>
  <c r="H23" i="62"/>
  <c r="H24" i="62"/>
  <c r="H25" i="62"/>
  <c r="H26" i="62"/>
  <c r="H27" i="62"/>
  <c r="H28" i="62"/>
  <c r="H29" i="62"/>
  <c r="H30" i="62"/>
  <c r="H31" i="62"/>
  <c r="H32" i="62"/>
  <c r="H33" i="62"/>
  <c r="H34" i="62"/>
  <c r="H35" i="62"/>
  <c r="H36" i="62"/>
  <c r="H37" i="62"/>
  <c r="H38" i="62"/>
  <c r="H39" i="62"/>
  <c r="H40" i="62"/>
  <c r="H41" i="62"/>
  <c r="H42" i="62"/>
  <c r="H43" i="62"/>
  <c r="H44" i="62"/>
  <c r="H45" i="62"/>
  <c r="H46" i="62"/>
  <c r="H47" i="62"/>
  <c r="H48" i="62"/>
  <c r="H49" i="62"/>
  <c r="H50" i="62"/>
  <c r="H51" i="62"/>
  <c r="H52" i="62"/>
  <c r="H53" i="62"/>
  <c r="H54" i="62"/>
  <c r="H55" i="62"/>
  <c r="H56" i="62"/>
  <c r="H57" i="62"/>
  <c r="H58" i="62"/>
  <c r="H59" i="62"/>
  <c r="H60" i="62"/>
  <c r="H61" i="62"/>
  <c r="H62" i="62"/>
  <c r="H63" i="62"/>
  <c r="H64" i="62"/>
  <c r="H65" i="62"/>
  <c r="H66" i="62"/>
  <c r="H67" i="62"/>
  <c r="H68" i="62"/>
  <c r="H69" i="62"/>
  <c r="H70" i="62"/>
  <c r="H71" i="62"/>
  <c r="H72" i="62"/>
  <c r="H73" i="62"/>
  <c r="H74" i="62"/>
  <c r="H75" i="62"/>
  <c r="H76" i="62"/>
  <c r="H77" i="62"/>
  <c r="H78" i="62"/>
  <c r="H79" i="62"/>
  <c r="H80" i="62"/>
  <c r="H81" i="62"/>
  <c r="H82" i="62"/>
  <c r="H83" i="62"/>
  <c r="H84" i="62"/>
  <c r="H85" i="62"/>
  <c r="H86" i="62"/>
  <c r="H87" i="62"/>
  <c r="H88" i="62"/>
  <c r="H89" i="62"/>
  <c r="H90" i="62"/>
  <c r="H91" i="62"/>
  <c r="H92" i="62"/>
  <c r="H93" i="62"/>
  <c r="H94" i="62"/>
  <c r="H95" i="62"/>
  <c r="H96" i="62"/>
  <c r="H97" i="62"/>
  <c r="H98" i="62"/>
  <c r="H99" i="62"/>
  <c r="H100" i="62"/>
  <c r="H101" i="62"/>
  <c r="H102" i="62"/>
  <c r="H103" i="62"/>
  <c r="H104" i="62"/>
  <c r="H105" i="62"/>
  <c r="H106" i="62"/>
  <c r="H107" i="62"/>
  <c r="H108" i="62"/>
  <c r="H109" i="62"/>
  <c r="H110" i="62"/>
  <c r="H111" i="62"/>
  <c r="H112" i="62"/>
  <c r="H113" i="62"/>
  <c r="H114" i="62"/>
  <c r="H115" i="62"/>
  <c r="H116" i="62"/>
  <c r="H117" i="62"/>
  <c r="H118" i="62"/>
  <c r="H119" i="62"/>
  <c r="H120" i="62"/>
  <c r="H121" i="62"/>
  <c r="H122" i="62"/>
  <c r="H123" i="62"/>
  <c r="H124" i="62"/>
  <c r="H125" i="62"/>
  <c r="H126" i="62"/>
  <c r="H127" i="62"/>
  <c r="H128" i="62"/>
  <c r="H129" i="62"/>
  <c r="H130" i="62"/>
  <c r="H131" i="62"/>
  <c r="H132" i="62"/>
  <c r="H133" i="62"/>
  <c r="H134" i="62"/>
  <c r="H135" i="62"/>
  <c r="H136" i="62"/>
  <c r="H137" i="62"/>
  <c r="H138" i="62"/>
  <c r="H139" i="62"/>
  <c r="H140" i="62"/>
  <c r="H141" i="62"/>
  <c r="H142" i="62"/>
  <c r="H143" i="62"/>
  <c r="H144" i="62"/>
  <c r="H145" i="62"/>
  <c r="H146" i="62"/>
  <c r="H147" i="62"/>
  <c r="H148" i="62"/>
  <c r="H149" i="62"/>
  <c r="H150" i="62"/>
  <c r="H151" i="62"/>
  <c r="H152" i="62"/>
  <c r="H153" i="62"/>
  <c r="H154" i="62"/>
  <c r="H155" i="62"/>
  <c r="H156" i="62"/>
  <c r="H157" i="62"/>
  <c r="H158" i="62"/>
  <c r="H159" i="62"/>
  <c r="H160" i="62"/>
  <c r="H161" i="62"/>
  <c r="H162" i="62"/>
  <c r="H163" i="62"/>
  <c r="H164" i="62"/>
  <c r="H165" i="62"/>
  <c r="H166" i="62"/>
  <c r="H167" i="62"/>
  <c r="H168" i="62"/>
  <c r="H169" i="62"/>
  <c r="H170" i="62"/>
  <c r="H171" i="62"/>
  <c r="H172" i="62"/>
  <c r="H173" i="62"/>
  <c r="H174" i="62"/>
  <c r="H175" i="62"/>
  <c r="H176" i="62"/>
  <c r="H177" i="62"/>
  <c r="H178" i="62"/>
  <c r="H179" i="62"/>
  <c r="H180" i="62"/>
  <c r="H181" i="62"/>
  <c r="H182" i="62"/>
  <c r="H183" i="62"/>
  <c r="H184" i="62"/>
  <c r="H185" i="62"/>
  <c r="H186" i="62"/>
  <c r="H187" i="62"/>
  <c r="H188" i="62"/>
  <c r="H189" i="62"/>
  <c r="H190" i="62"/>
  <c r="H191" i="62"/>
  <c r="H192" i="62"/>
  <c r="H193" i="62"/>
  <c r="H194" i="62"/>
  <c r="H195" i="62"/>
  <c r="H196" i="62"/>
  <c r="H197" i="62"/>
  <c r="H198" i="62"/>
  <c r="H199" i="62"/>
  <c r="H200" i="62"/>
  <c r="H201" i="62"/>
  <c r="H202" i="62"/>
  <c r="H203" i="62"/>
  <c r="H204" i="62"/>
  <c r="H205" i="62"/>
  <c r="H206" i="62"/>
  <c r="H207" i="62"/>
  <c r="H208" i="62"/>
  <c r="H209" i="62"/>
  <c r="H210" i="62"/>
  <c r="H211" i="62"/>
  <c r="H212" i="62"/>
  <c r="H213" i="62"/>
  <c r="H214" i="62"/>
  <c r="H215" i="62"/>
  <c r="H216" i="62"/>
  <c r="H217" i="62"/>
  <c r="H218" i="62"/>
  <c r="H219" i="62"/>
  <c r="H220" i="62"/>
  <c r="H221" i="62"/>
  <c r="H222" i="62"/>
  <c r="H223" i="62"/>
  <c r="H224" i="62"/>
  <c r="H225" i="62"/>
  <c r="H226" i="62"/>
  <c r="H227" i="62"/>
  <c r="H228" i="62"/>
  <c r="H229" i="62"/>
  <c r="H230" i="62"/>
  <c r="H231" i="62"/>
  <c r="H232" i="62"/>
  <c r="H233" i="62"/>
  <c r="H234" i="62"/>
  <c r="H235" i="62"/>
  <c r="H236" i="62"/>
  <c r="H237" i="62"/>
  <c r="H238" i="62"/>
  <c r="H239" i="62"/>
  <c r="H240" i="62"/>
  <c r="H241" i="62"/>
  <c r="H242" i="62"/>
  <c r="H243" i="62"/>
  <c r="H244" i="62"/>
  <c r="H245" i="62"/>
  <c r="H246" i="62"/>
  <c r="H247" i="62"/>
  <c r="H248" i="62"/>
  <c r="H249" i="62"/>
  <c r="H250" i="62"/>
  <c r="H251" i="62"/>
  <c r="H252" i="62"/>
  <c r="H253" i="62"/>
  <c r="H254" i="62"/>
  <c r="H255" i="62"/>
  <c r="H256" i="62"/>
  <c r="H257" i="62"/>
  <c r="H258" i="62"/>
  <c r="H259" i="62"/>
  <c r="H260" i="62"/>
  <c r="H261" i="62"/>
  <c r="H262" i="62"/>
  <c r="H263" i="62"/>
  <c r="H264" i="62"/>
  <c r="H265" i="62"/>
  <c r="H266" i="62"/>
  <c r="H267" i="62"/>
  <c r="H268" i="62"/>
  <c r="H269" i="62"/>
  <c r="H270" i="62"/>
  <c r="H271" i="62"/>
  <c r="H272" i="62"/>
  <c r="H273" i="62"/>
  <c r="H274" i="62"/>
  <c r="H275" i="62"/>
  <c r="H276" i="62"/>
  <c r="H277" i="62"/>
  <c r="H278" i="62"/>
  <c r="H279" i="62"/>
  <c r="H280" i="62"/>
  <c r="H281" i="62"/>
  <c r="H282" i="62"/>
  <c r="H283" i="62"/>
  <c r="H284" i="62"/>
  <c r="H285" i="62"/>
  <c r="H286" i="62"/>
  <c r="H287" i="62"/>
  <c r="H288" i="62"/>
  <c r="H289" i="62"/>
  <c r="H290" i="62"/>
  <c r="H291" i="62"/>
  <c r="H292" i="62"/>
  <c r="H293" i="62"/>
  <c r="H294" i="62"/>
  <c r="H295" i="62"/>
  <c r="H296" i="62"/>
  <c r="H297" i="62"/>
  <c r="H298" i="62"/>
  <c r="H299" i="62"/>
  <c r="H300" i="62"/>
  <c r="H301" i="62"/>
  <c r="H302" i="62"/>
  <c r="H303" i="62"/>
  <c r="H304" i="62"/>
  <c r="H305" i="62"/>
  <c r="H306" i="62"/>
  <c r="H307" i="62"/>
  <c r="H308" i="62"/>
  <c r="H309" i="62"/>
  <c r="H310" i="62"/>
  <c r="H311" i="62"/>
  <c r="H312" i="62"/>
  <c r="H313" i="62"/>
  <c r="H314" i="62"/>
  <c r="H315" i="62"/>
  <c r="H316" i="62"/>
  <c r="H317" i="62"/>
  <c r="H318" i="62"/>
  <c r="H319" i="62"/>
  <c r="H320" i="62"/>
  <c r="H321" i="62"/>
  <c r="H322" i="62"/>
  <c r="H323" i="62"/>
  <c r="H324" i="62"/>
  <c r="H325" i="62"/>
  <c r="H326" i="62"/>
  <c r="H327" i="62"/>
  <c r="H328" i="62"/>
  <c r="H329" i="62"/>
  <c r="H330" i="62"/>
  <c r="H331" i="62"/>
  <c r="H332" i="62"/>
  <c r="H333" i="62"/>
  <c r="H334" i="62"/>
  <c r="H335" i="62"/>
  <c r="H336" i="62"/>
  <c r="H337" i="62"/>
  <c r="H338" i="62"/>
  <c r="H339" i="62"/>
  <c r="H340" i="62"/>
  <c r="H341" i="62"/>
  <c r="H342" i="62"/>
  <c r="H343" i="62"/>
  <c r="H344" i="62"/>
  <c r="H345" i="62"/>
  <c r="H346" i="62"/>
  <c r="H347" i="62"/>
  <c r="H348" i="62"/>
  <c r="H349" i="62"/>
  <c r="H350" i="62"/>
  <c r="H351" i="62"/>
  <c r="H352" i="62"/>
  <c r="H353" i="62"/>
  <c r="H354" i="62"/>
  <c r="H355" i="62"/>
  <c r="H356" i="62"/>
  <c r="H357" i="62"/>
  <c r="H358" i="62"/>
  <c r="H359" i="62"/>
  <c r="H360" i="62"/>
  <c r="H361" i="62"/>
  <c r="H362" i="62"/>
  <c r="H363" i="62"/>
  <c r="H364" i="62"/>
  <c r="H365" i="62"/>
  <c r="H366" i="62"/>
  <c r="H367" i="62"/>
  <c r="H368" i="62"/>
  <c r="H369" i="62"/>
  <c r="H370" i="62"/>
  <c r="H371" i="62"/>
  <c r="H372" i="62"/>
  <c r="H373" i="62"/>
  <c r="H374" i="62"/>
  <c r="H375" i="62"/>
  <c r="H376" i="62"/>
  <c r="H377" i="62"/>
  <c r="H378" i="62"/>
  <c r="H379" i="62"/>
  <c r="H380" i="62"/>
  <c r="H381" i="62"/>
  <c r="H382" i="62"/>
  <c r="H383" i="62"/>
  <c r="H384" i="62"/>
  <c r="H385" i="62"/>
  <c r="H386" i="62"/>
  <c r="H387" i="62"/>
  <c r="H388" i="62"/>
  <c r="H389" i="62"/>
  <c r="H390" i="62"/>
  <c r="H391" i="62"/>
  <c r="H392" i="62"/>
  <c r="H393" i="62"/>
  <c r="H394" i="62"/>
  <c r="H395" i="62"/>
  <c r="H396" i="62"/>
  <c r="H397" i="62"/>
  <c r="H398" i="62"/>
  <c r="H399" i="62"/>
  <c r="H400" i="62"/>
  <c r="H401" i="62"/>
  <c r="H402" i="62"/>
  <c r="H403" i="62"/>
  <c r="H404" i="62"/>
  <c r="H405" i="62"/>
  <c r="H406" i="62"/>
  <c r="H407" i="62"/>
  <c r="H408" i="62"/>
  <c r="H409" i="62"/>
  <c r="H410" i="62"/>
  <c r="H411" i="62"/>
  <c r="H412" i="62"/>
  <c r="H413" i="62"/>
  <c r="H414" i="62"/>
  <c r="H415" i="62"/>
  <c r="H416" i="62"/>
  <c r="H417" i="62"/>
  <c r="H418" i="62"/>
  <c r="H419" i="62"/>
  <c r="H420" i="62"/>
  <c r="H421" i="62"/>
  <c r="H422" i="62"/>
  <c r="H423" i="62"/>
  <c r="H424" i="62"/>
  <c r="H425" i="62"/>
  <c r="H426" i="62"/>
  <c r="H427" i="62"/>
  <c r="H428" i="62"/>
  <c r="H429" i="62"/>
  <c r="H430" i="62"/>
  <c r="H431" i="62"/>
  <c r="H432" i="62"/>
  <c r="H433" i="62"/>
  <c r="H434" i="62"/>
  <c r="H435" i="62"/>
  <c r="H436" i="62"/>
  <c r="H437" i="62"/>
  <c r="H438" i="62"/>
  <c r="H439" i="62"/>
  <c r="H440" i="62"/>
  <c r="H441" i="62"/>
  <c r="H442" i="62"/>
  <c r="H443" i="62"/>
  <c r="H444" i="62"/>
  <c r="H445" i="62"/>
  <c r="H446" i="62"/>
  <c r="H447" i="62"/>
  <c r="H448" i="62"/>
  <c r="H449" i="62"/>
  <c r="H450" i="62"/>
  <c r="H451" i="62"/>
  <c r="H452" i="62"/>
  <c r="H453" i="62"/>
  <c r="H454" i="62"/>
  <c r="H455" i="62"/>
  <c r="H456" i="62"/>
  <c r="H457" i="62"/>
  <c r="H458" i="62"/>
  <c r="H459" i="62"/>
  <c r="H460" i="62"/>
  <c r="H461" i="62"/>
  <c r="H462" i="62"/>
  <c r="H463" i="62"/>
  <c r="H464" i="62"/>
  <c r="H465" i="62"/>
  <c r="H466" i="62"/>
  <c r="H467" i="62"/>
  <c r="H468" i="62"/>
  <c r="H469" i="62"/>
  <c r="H470" i="62"/>
  <c r="H471" i="62"/>
  <c r="H472" i="62"/>
  <c r="H473" i="62"/>
  <c r="H474" i="62"/>
  <c r="H475" i="62"/>
  <c r="H476" i="62"/>
  <c r="H477" i="62"/>
  <c r="H478" i="62"/>
  <c r="H479" i="62"/>
  <c r="H480" i="62"/>
  <c r="H481" i="62"/>
  <c r="H482" i="62"/>
  <c r="H483" i="62"/>
  <c r="H484" i="62"/>
  <c r="H485" i="62"/>
  <c r="H486" i="62"/>
  <c r="H487" i="62"/>
  <c r="H488" i="62"/>
  <c r="H489" i="62"/>
  <c r="H490" i="62"/>
  <c r="H491" i="62"/>
  <c r="H492" i="62"/>
  <c r="H493" i="62"/>
  <c r="H494" i="62"/>
  <c r="H495" i="62"/>
  <c r="H496" i="62"/>
  <c r="H497" i="62"/>
  <c r="H498" i="62"/>
  <c r="H499" i="62"/>
  <c r="H500" i="62"/>
  <c r="H501" i="62"/>
  <c r="H502" i="62"/>
  <c r="H503" i="62"/>
  <c r="H504" i="62"/>
  <c r="H505" i="62"/>
  <c r="H506" i="62"/>
  <c r="H507" i="62"/>
  <c r="H508" i="62"/>
  <c r="H509" i="62"/>
  <c r="H510" i="62"/>
  <c r="H511" i="62"/>
  <c r="H512" i="62"/>
  <c r="H513" i="62"/>
  <c r="H514" i="62"/>
  <c r="H515" i="62"/>
  <c r="H516" i="62"/>
  <c r="H517" i="62"/>
  <c r="H518" i="62"/>
  <c r="H519" i="62"/>
  <c r="H520" i="62"/>
  <c r="H521" i="62"/>
  <c r="H522" i="62"/>
  <c r="H523" i="62"/>
  <c r="H524" i="62"/>
  <c r="H525" i="62"/>
  <c r="H526" i="62"/>
  <c r="H527" i="62"/>
  <c r="H528" i="62"/>
  <c r="H529" i="62"/>
  <c r="H530" i="62"/>
  <c r="H531" i="62"/>
  <c r="H532" i="62"/>
  <c r="H533" i="62"/>
  <c r="H534" i="62"/>
  <c r="H535" i="62"/>
  <c r="H536" i="62"/>
  <c r="H537" i="62"/>
  <c r="H538" i="62"/>
  <c r="H539" i="62"/>
  <c r="H540" i="62"/>
  <c r="H541" i="62"/>
  <c r="H542" i="62"/>
  <c r="H543" i="62"/>
  <c r="H544" i="62"/>
  <c r="H545" i="62"/>
  <c r="H546" i="62"/>
  <c r="H547" i="62"/>
  <c r="H548" i="62"/>
  <c r="H549" i="62"/>
  <c r="H550" i="62"/>
  <c r="H551" i="62"/>
  <c r="H552" i="62"/>
  <c r="H553" i="62"/>
  <c r="H554" i="62"/>
  <c r="H555" i="62"/>
  <c r="H556" i="62"/>
  <c r="H557" i="62"/>
  <c r="H558" i="62"/>
  <c r="H559" i="62"/>
  <c r="H560" i="62"/>
  <c r="H561" i="62"/>
  <c r="H562" i="62"/>
  <c r="H563" i="62"/>
  <c r="H564" i="62"/>
  <c r="H565" i="62"/>
  <c r="H566" i="62"/>
  <c r="H567" i="62"/>
  <c r="H568" i="62"/>
  <c r="H569" i="62"/>
  <c r="H570" i="62"/>
  <c r="H571" i="62"/>
  <c r="H572" i="62"/>
  <c r="H573" i="62"/>
  <c r="H574" i="62"/>
  <c r="H575" i="62"/>
  <c r="H576" i="62"/>
  <c r="H577" i="62"/>
  <c r="H578" i="62"/>
  <c r="H579" i="62"/>
  <c r="H580" i="62"/>
  <c r="H581" i="62"/>
  <c r="H582" i="62"/>
  <c r="H583" i="62"/>
  <c r="H584" i="62"/>
  <c r="H585" i="62"/>
  <c r="H586" i="62"/>
  <c r="H587" i="62"/>
  <c r="H588" i="62"/>
  <c r="H589" i="62"/>
  <c r="H590" i="62"/>
  <c r="H591" i="62"/>
  <c r="H592" i="62"/>
  <c r="H593" i="62"/>
  <c r="H594" i="62"/>
  <c r="H595" i="62"/>
  <c r="H596" i="62"/>
  <c r="H597" i="62"/>
  <c r="H598" i="62"/>
  <c r="H599" i="62"/>
  <c r="H600" i="62"/>
  <c r="H601" i="62"/>
  <c r="H602" i="62"/>
  <c r="H603" i="62"/>
  <c r="H604" i="62"/>
  <c r="H605" i="62"/>
  <c r="H606" i="62"/>
  <c r="H607" i="62"/>
  <c r="H608" i="62"/>
  <c r="H609" i="62"/>
  <c r="H610" i="62"/>
  <c r="H611" i="62"/>
  <c r="H612" i="62"/>
  <c r="H613" i="62"/>
  <c r="H614" i="62"/>
  <c r="H615" i="62"/>
  <c r="H616" i="62"/>
  <c r="H617" i="62"/>
  <c r="H618" i="62"/>
  <c r="H619" i="62"/>
  <c r="H620" i="62"/>
  <c r="H621" i="62"/>
  <c r="H622" i="62"/>
  <c r="H623" i="62"/>
  <c r="H624" i="62"/>
  <c r="H625" i="62"/>
  <c r="H626" i="62"/>
  <c r="H627" i="62"/>
  <c r="H628" i="62"/>
  <c r="H629" i="62"/>
  <c r="H630" i="62"/>
  <c r="H631" i="62"/>
  <c r="H632" i="62"/>
  <c r="H633" i="62"/>
  <c r="H634" i="62"/>
  <c r="H635" i="62"/>
  <c r="H636" i="62"/>
  <c r="H637" i="62"/>
  <c r="H638" i="62"/>
  <c r="H639" i="62"/>
  <c r="H640" i="62"/>
  <c r="H641" i="62"/>
  <c r="H642" i="62"/>
  <c r="H643" i="62"/>
  <c r="H644" i="62"/>
  <c r="H645" i="62"/>
  <c r="H646" i="62"/>
  <c r="H647" i="62"/>
  <c r="H648" i="62"/>
  <c r="H649" i="62"/>
  <c r="H650" i="62"/>
  <c r="H651" i="62"/>
  <c r="H652" i="62"/>
  <c r="H653" i="62"/>
  <c r="H654" i="62"/>
  <c r="H655" i="62"/>
  <c r="H656" i="62"/>
  <c r="H657" i="62"/>
  <c r="H658" i="62"/>
  <c r="H659" i="62"/>
  <c r="H660" i="62"/>
  <c r="H661" i="62"/>
  <c r="H662" i="62"/>
  <c r="H663" i="62"/>
  <c r="H664" i="62"/>
  <c r="H2" i="62"/>
  <c r="G3" i="62"/>
  <c r="G4" i="62"/>
  <c r="G5" i="62"/>
  <c r="G6" i="62"/>
  <c r="G7" i="62"/>
  <c r="G8" i="62"/>
  <c r="G9" i="62"/>
  <c r="G10" i="62"/>
  <c r="G11" i="62"/>
  <c r="G12" i="62"/>
  <c r="G13" i="62"/>
  <c r="G14" i="62"/>
  <c r="G15" i="62"/>
  <c r="G16" i="62"/>
  <c r="G17" i="62"/>
  <c r="G18" i="62"/>
  <c r="G19" i="62"/>
  <c r="G20" i="62"/>
  <c r="G21" i="62"/>
  <c r="G22" i="62"/>
  <c r="G23" i="62"/>
  <c r="G24" i="62"/>
  <c r="G25" i="62"/>
  <c r="G26" i="62"/>
  <c r="G27" i="62"/>
  <c r="G28" i="62"/>
  <c r="G29" i="62"/>
  <c r="G30" i="62"/>
  <c r="G31" i="62"/>
  <c r="G32" i="62"/>
  <c r="G33" i="62"/>
  <c r="G34" i="62"/>
  <c r="G35" i="62"/>
  <c r="G36" i="62"/>
  <c r="G37" i="62"/>
  <c r="G38" i="62"/>
  <c r="G39" i="62"/>
  <c r="G40" i="62"/>
  <c r="G41" i="62"/>
  <c r="G42" i="62"/>
  <c r="G43" i="62"/>
  <c r="G44" i="62"/>
  <c r="G45" i="62"/>
  <c r="G46" i="62"/>
  <c r="G47" i="62"/>
  <c r="G48" i="62"/>
  <c r="G49" i="62"/>
  <c r="G50" i="62"/>
  <c r="G51" i="62"/>
  <c r="G52" i="62"/>
  <c r="G53" i="62"/>
  <c r="G54" i="62"/>
  <c r="G55" i="62"/>
  <c r="G56" i="62"/>
  <c r="G57" i="62"/>
  <c r="G58" i="62"/>
  <c r="G59" i="62"/>
  <c r="G60" i="62"/>
  <c r="G61" i="62"/>
  <c r="G62" i="62"/>
  <c r="G63" i="62"/>
  <c r="G64" i="62"/>
  <c r="G65" i="62"/>
  <c r="G66" i="62"/>
  <c r="G67" i="62"/>
  <c r="G68" i="62"/>
  <c r="G69" i="62"/>
  <c r="G70" i="62"/>
  <c r="G71" i="62"/>
  <c r="G72" i="62"/>
  <c r="G73" i="62"/>
  <c r="G74" i="62"/>
  <c r="G75" i="62"/>
  <c r="G76" i="62"/>
  <c r="G77" i="62"/>
  <c r="G78" i="62"/>
  <c r="G79" i="62"/>
  <c r="G80" i="62"/>
  <c r="G81" i="62"/>
  <c r="G82" i="62"/>
  <c r="G83" i="62"/>
  <c r="G84" i="62"/>
  <c r="G85" i="62"/>
  <c r="G86" i="62"/>
  <c r="G87" i="62"/>
  <c r="G88" i="62"/>
  <c r="G89" i="62"/>
  <c r="G90" i="62"/>
  <c r="G91" i="62"/>
  <c r="G92" i="62"/>
  <c r="G93" i="62"/>
  <c r="G94" i="62"/>
  <c r="G95" i="62"/>
  <c r="G96" i="62"/>
  <c r="G97" i="62"/>
  <c r="G98" i="62"/>
  <c r="G99" i="62"/>
  <c r="G100" i="62"/>
  <c r="G101" i="62"/>
  <c r="G102" i="62"/>
  <c r="G103" i="62"/>
  <c r="G104" i="62"/>
  <c r="G105" i="62"/>
  <c r="G106" i="62"/>
  <c r="G107" i="62"/>
  <c r="G108" i="62"/>
  <c r="G109" i="62"/>
  <c r="G110" i="62"/>
  <c r="G111" i="62"/>
  <c r="G112" i="62"/>
  <c r="G113" i="62"/>
  <c r="G114" i="62"/>
  <c r="G115" i="62"/>
  <c r="G116" i="62"/>
  <c r="G117" i="62"/>
  <c r="G118" i="62"/>
  <c r="G119" i="62"/>
  <c r="G120" i="62"/>
  <c r="G121" i="62"/>
  <c r="G122" i="62"/>
  <c r="G123" i="62"/>
  <c r="G124" i="62"/>
  <c r="G125" i="62"/>
  <c r="G126" i="62"/>
  <c r="G127" i="62"/>
  <c r="G128" i="62"/>
  <c r="G129" i="62"/>
  <c r="G130" i="62"/>
  <c r="G131" i="62"/>
  <c r="G132" i="62"/>
  <c r="G133" i="62"/>
  <c r="G134" i="62"/>
  <c r="G135" i="62"/>
  <c r="G136" i="62"/>
  <c r="G137" i="62"/>
  <c r="G138" i="62"/>
  <c r="G139" i="62"/>
  <c r="G140" i="62"/>
  <c r="G141" i="62"/>
  <c r="G142" i="62"/>
  <c r="G143" i="62"/>
  <c r="G144" i="62"/>
  <c r="G145" i="62"/>
  <c r="G146" i="62"/>
  <c r="G147" i="62"/>
  <c r="G148" i="62"/>
  <c r="G149" i="62"/>
  <c r="G150" i="62"/>
  <c r="G151" i="62"/>
  <c r="G152" i="62"/>
  <c r="G153" i="62"/>
  <c r="G154" i="62"/>
  <c r="G155" i="62"/>
  <c r="G156" i="62"/>
  <c r="G157" i="62"/>
  <c r="G158" i="62"/>
  <c r="G159" i="62"/>
  <c r="G160" i="62"/>
  <c r="G161" i="62"/>
  <c r="G162" i="62"/>
  <c r="G163" i="62"/>
  <c r="G164" i="62"/>
  <c r="G165" i="62"/>
  <c r="G166" i="62"/>
  <c r="G167" i="62"/>
  <c r="G168" i="62"/>
  <c r="G169" i="62"/>
  <c r="G170" i="62"/>
  <c r="G171" i="62"/>
  <c r="G172" i="62"/>
  <c r="G173" i="62"/>
  <c r="G174" i="62"/>
  <c r="G175" i="62"/>
  <c r="G176" i="62"/>
  <c r="G177" i="62"/>
  <c r="G178" i="62"/>
  <c r="G179" i="62"/>
  <c r="G180" i="62"/>
  <c r="G181" i="62"/>
  <c r="G182" i="62"/>
  <c r="G183" i="62"/>
  <c r="G184" i="62"/>
  <c r="G185" i="62"/>
  <c r="G186" i="62"/>
  <c r="G187" i="62"/>
  <c r="G188" i="62"/>
  <c r="G189" i="62"/>
  <c r="G190" i="62"/>
  <c r="G191" i="62"/>
  <c r="G192" i="62"/>
  <c r="G193" i="62"/>
  <c r="G194" i="62"/>
  <c r="G195" i="62"/>
  <c r="G196" i="62"/>
  <c r="G197" i="62"/>
  <c r="G198" i="62"/>
  <c r="G199" i="62"/>
  <c r="G200" i="62"/>
  <c r="G201" i="62"/>
  <c r="G202" i="62"/>
  <c r="G203" i="62"/>
  <c r="G204" i="62"/>
  <c r="G205" i="62"/>
  <c r="G206" i="62"/>
  <c r="G207" i="62"/>
  <c r="G208" i="62"/>
  <c r="G209" i="62"/>
  <c r="G210" i="62"/>
  <c r="G211" i="62"/>
  <c r="G212" i="62"/>
  <c r="G213" i="62"/>
  <c r="G214" i="62"/>
  <c r="G215" i="62"/>
  <c r="G216" i="62"/>
  <c r="G217" i="62"/>
  <c r="G218" i="62"/>
  <c r="G219" i="62"/>
  <c r="G220" i="62"/>
  <c r="G221" i="62"/>
  <c r="G222" i="62"/>
  <c r="G223" i="62"/>
  <c r="G224" i="62"/>
  <c r="G225" i="62"/>
  <c r="G226" i="62"/>
  <c r="G227" i="62"/>
  <c r="G228" i="62"/>
  <c r="G229" i="62"/>
  <c r="G230" i="62"/>
  <c r="G231" i="62"/>
  <c r="G232" i="62"/>
  <c r="G233" i="62"/>
  <c r="G234" i="62"/>
  <c r="G235" i="62"/>
  <c r="G236" i="62"/>
  <c r="G237" i="62"/>
  <c r="G238" i="62"/>
  <c r="G239" i="62"/>
  <c r="G240" i="62"/>
  <c r="G241" i="62"/>
  <c r="G242" i="62"/>
  <c r="G243" i="62"/>
  <c r="G244" i="62"/>
  <c r="G245" i="62"/>
  <c r="G246" i="62"/>
  <c r="G247" i="62"/>
  <c r="G248" i="62"/>
  <c r="G249" i="62"/>
  <c r="G250" i="62"/>
  <c r="G251" i="62"/>
  <c r="G252" i="62"/>
  <c r="G253" i="62"/>
  <c r="G254" i="62"/>
  <c r="G255" i="62"/>
  <c r="G256" i="62"/>
  <c r="G257" i="62"/>
  <c r="G258" i="62"/>
  <c r="G259" i="62"/>
  <c r="G260" i="62"/>
  <c r="G261" i="62"/>
  <c r="G262" i="62"/>
  <c r="G263" i="62"/>
  <c r="G264" i="62"/>
  <c r="G265" i="62"/>
  <c r="G266" i="62"/>
  <c r="G267" i="62"/>
  <c r="G268" i="62"/>
  <c r="G269" i="62"/>
  <c r="G270" i="62"/>
  <c r="G271" i="62"/>
  <c r="G272" i="62"/>
  <c r="G273" i="62"/>
  <c r="G274" i="62"/>
  <c r="G275" i="62"/>
  <c r="G276" i="62"/>
  <c r="G277" i="62"/>
  <c r="G278" i="62"/>
  <c r="G279" i="62"/>
  <c r="G280" i="62"/>
  <c r="G281" i="62"/>
  <c r="G282" i="62"/>
  <c r="G283" i="62"/>
  <c r="G284" i="62"/>
  <c r="G285" i="62"/>
  <c r="G286" i="62"/>
  <c r="G287" i="62"/>
  <c r="G288" i="62"/>
  <c r="G289" i="62"/>
  <c r="G290" i="62"/>
  <c r="G291" i="62"/>
  <c r="G292" i="62"/>
  <c r="G293" i="62"/>
  <c r="G294" i="62"/>
  <c r="G295" i="62"/>
  <c r="G296" i="62"/>
  <c r="G297" i="62"/>
  <c r="G298" i="62"/>
  <c r="G299" i="62"/>
  <c r="G300" i="62"/>
  <c r="G301" i="62"/>
  <c r="G302" i="62"/>
  <c r="G303" i="62"/>
  <c r="G304" i="62"/>
  <c r="G305" i="62"/>
  <c r="G306" i="62"/>
  <c r="G307" i="62"/>
  <c r="G308" i="62"/>
  <c r="G309" i="62"/>
  <c r="G310" i="62"/>
  <c r="G311" i="62"/>
  <c r="G312" i="62"/>
  <c r="G313" i="62"/>
  <c r="G314" i="62"/>
  <c r="G315" i="62"/>
  <c r="G316" i="62"/>
  <c r="G317" i="62"/>
  <c r="G318" i="62"/>
  <c r="G319" i="62"/>
  <c r="G320" i="62"/>
  <c r="G321" i="62"/>
  <c r="G322" i="62"/>
  <c r="G323" i="62"/>
  <c r="G324" i="62"/>
  <c r="G325" i="62"/>
  <c r="G326" i="62"/>
  <c r="G327" i="62"/>
  <c r="G328" i="62"/>
  <c r="G329" i="62"/>
  <c r="G330" i="62"/>
  <c r="G331" i="62"/>
  <c r="G332" i="62"/>
  <c r="G333" i="62"/>
  <c r="G334" i="62"/>
  <c r="G335" i="62"/>
  <c r="G336" i="62"/>
  <c r="G337" i="62"/>
  <c r="G338" i="62"/>
  <c r="G339" i="62"/>
  <c r="G340" i="62"/>
  <c r="G341" i="62"/>
  <c r="G342" i="62"/>
  <c r="G343" i="62"/>
  <c r="G344" i="62"/>
  <c r="G345" i="62"/>
  <c r="G346" i="62"/>
  <c r="G347" i="62"/>
  <c r="G348" i="62"/>
  <c r="G349" i="62"/>
  <c r="G350" i="62"/>
  <c r="G351" i="62"/>
  <c r="G352" i="62"/>
  <c r="G353" i="62"/>
  <c r="G354" i="62"/>
  <c r="G355" i="62"/>
  <c r="G356" i="62"/>
  <c r="G357" i="62"/>
  <c r="G358" i="62"/>
  <c r="G359" i="62"/>
  <c r="G360" i="62"/>
  <c r="G361" i="62"/>
  <c r="G362" i="62"/>
  <c r="G363" i="62"/>
  <c r="G364" i="62"/>
  <c r="G365" i="62"/>
  <c r="G366" i="62"/>
  <c r="G367" i="62"/>
  <c r="G368" i="62"/>
  <c r="G369" i="62"/>
  <c r="G370" i="62"/>
  <c r="G371" i="62"/>
  <c r="G372" i="62"/>
  <c r="G373" i="62"/>
  <c r="G374" i="62"/>
  <c r="G375" i="62"/>
  <c r="G376" i="62"/>
  <c r="G377" i="62"/>
  <c r="G378" i="62"/>
  <c r="G379" i="62"/>
  <c r="G380" i="62"/>
  <c r="G381" i="62"/>
  <c r="G382" i="62"/>
  <c r="G383" i="62"/>
  <c r="G384" i="62"/>
  <c r="G385" i="62"/>
  <c r="G386" i="62"/>
  <c r="G387" i="62"/>
  <c r="G388" i="62"/>
  <c r="G389" i="62"/>
  <c r="G390" i="62"/>
  <c r="G391" i="62"/>
  <c r="G392" i="62"/>
  <c r="G393" i="62"/>
  <c r="G394" i="62"/>
  <c r="G395" i="62"/>
  <c r="G396" i="62"/>
  <c r="G397" i="62"/>
  <c r="G398" i="62"/>
  <c r="G399" i="62"/>
  <c r="G400" i="62"/>
  <c r="G401" i="62"/>
  <c r="G402" i="62"/>
  <c r="G403" i="62"/>
  <c r="G404" i="62"/>
  <c r="G405" i="62"/>
  <c r="G406" i="62"/>
  <c r="G407" i="62"/>
  <c r="G408" i="62"/>
  <c r="G409" i="62"/>
  <c r="G410" i="62"/>
  <c r="G411" i="62"/>
  <c r="G412" i="62"/>
  <c r="G413" i="62"/>
  <c r="G414" i="62"/>
  <c r="G415" i="62"/>
  <c r="G416" i="62"/>
  <c r="G417" i="62"/>
  <c r="G418" i="62"/>
  <c r="G419" i="62"/>
  <c r="G420" i="62"/>
  <c r="G421" i="62"/>
  <c r="G422" i="62"/>
  <c r="G423" i="62"/>
  <c r="G424" i="62"/>
  <c r="G425" i="62"/>
  <c r="G426" i="62"/>
  <c r="G427" i="62"/>
  <c r="G428" i="62"/>
  <c r="G429" i="62"/>
  <c r="G430" i="62"/>
  <c r="G431" i="62"/>
  <c r="G432" i="62"/>
  <c r="G433" i="62"/>
  <c r="G434" i="62"/>
  <c r="G435" i="62"/>
  <c r="G436" i="62"/>
  <c r="G437" i="62"/>
  <c r="G438" i="62"/>
  <c r="G439" i="62"/>
  <c r="G440" i="62"/>
  <c r="G441" i="62"/>
  <c r="G442" i="62"/>
  <c r="G443" i="62"/>
  <c r="G444" i="62"/>
  <c r="G445" i="62"/>
  <c r="G446" i="62"/>
  <c r="G447" i="62"/>
  <c r="G448" i="62"/>
  <c r="G449" i="62"/>
  <c r="G450" i="62"/>
  <c r="G451" i="62"/>
  <c r="G452" i="62"/>
  <c r="G453" i="62"/>
  <c r="G454" i="62"/>
  <c r="G455" i="62"/>
  <c r="G456" i="62"/>
  <c r="G457" i="62"/>
  <c r="G458" i="62"/>
  <c r="G459" i="62"/>
  <c r="G460" i="62"/>
  <c r="G461" i="62"/>
  <c r="G462" i="62"/>
  <c r="G463" i="62"/>
  <c r="G464" i="62"/>
  <c r="G465" i="62"/>
  <c r="G466" i="62"/>
  <c r="G467" i="62"/>
  <c r="G468" i="62"/>
  <c r="G469" i="62"/>
  <c r="G470" i="62"/>
  <c r="G471" i="62"/>
  <c r="G472" i="62"/>
  <c r="G473" i="62"/>
  <c r="G474" i="62"/>
  <c r="G475" i="62"/>
  <c r="G476" i="62"/>
  <c r="G477" i="62"/>
  <c r="G478" i="62"/>
  <c r="G479" i="62"/>
  <c r="G480" i="62"/>
  <c r="G481" i="62"/>
  <c r="G482" i="62"/>
  <c r="G483" i="62"/>
  <c r="G484" i="62"/>
  <c r="G485" i="62"/>
  <c r="G486" i="62"/>
  <c r="G487" i="62"/>
  <c r="G488" i="62"/>
  <c r="G489" i="62"/>
  <c r="G490" i="62"/>
  <c r="G491" i="62"/>
  <c r="G492" i="62"/>
  <c r="G493" i="62"/>
  <c r="G494" i="62"/>
  <c r="G495" i="62"/>
  <c r="G496" i="62"/>
  <c r="G497" i="62"/>
  <c r="G498" i="62"/>
  <c r="G499" i="62"/>
  <c r="G500" i="62"/>
  <c r="G501" i="62"/>
  <c r="G502" i="62"/>
  <c r="G503" i="62"/>
  <c r="G504" i="62"/>
  <c r="G505" i="62"/>
  <c r="G506" i="62"/>
  <c r="G507" i="62"/>
  <c r="G508" i="62"/>
  <c r="G509" i="62"/>
  <c r="G510" i="62"/>
  <c r="G511" i="62"/>
  <c r="G512" i="62"/>
  <c r="G513" i="62"/>
  <c r="G514" i="62"/>
  <c r="G515" i="62"/>
  <c r="G516" i="62"/>
  <c r="G517" i="62"/>
  <c r="G518" i="62"/>
  <c r="G519" i="62"/>
  <c r="G520" i="62"/>
  <c r="G521" i="62"/>
  <c r="G522" i="62"/>
  <c r="G523" i="62"/>
  <c r="G524" i="62"/>
  <c r="G525" i="62"/>
  <c r="G526" i="62"/>
  <c r="G527" i="62"/>
  <c r="G528" i="62"/>
  <c r="G529" i="62"/>
  <c r="G530" i="62"/>
  <c r="G531" i="62"/>
  <c r="G532" i="62"/>
  <c r="G533" i="62"/>
  <c r="G534" i="62"/>
  <c r="G535" i="62"/>
  <c r="G536" i="62"/>
  <c r="G537" i="62"/>
  <c r="G538" i="62"/>
  <c r="G539" i="62"/>
  <c r="G540" i="62"/>
  <c r="G541" i="62"/>
  <c r="G542" i="62"/>
  <c r="G543" i="62"/>
  <c r="G544" i="62"/>
  <c r="G545" i="62"/>
  <c r="G546" i="62"/>
  <c r="G547" i="62"/>
  <c r="G548" i="62"/>
  <c r="G549" i="62"/>
  <c r="G550" i="62"/>
  <c r="G551" i="62"/>
  <c r="G552" i="62"/>
  <c r="G553" i="62"/>
  <c r="G554" i="62"/>
  <c r="G555" i="62"/>
  <c r="G556" i="62"/>
  <c r="G557" i="62"/>
  <c r="G558" i="62"/>
  <c r="G559" i="62"/>
  <c r="G560" i="62"/>
  <c r="G561" i="62"/>
  <c r="G562" i="62"/>
  <c r="G563" i="62"/>
  <c r="G564" i="62"/>
  <c r="G565" i="62"/>
  <c r="G566" i="62"/>
  <c r="G567" i="62"/>
  <c r="G568" i="62"/>
  <c r="G569" i="62"/>
  <c r="G570" i="62"/>
  <c r="G571" i="62"/>
  <c r="G572" i="62"/>
  <c r="G573" i="62"/>
  <c r="G574" i="62"/>
  <c r="G575" i="62"/>
  <c r="G576" i="62"/>
  <c r="G577" i="62"/>
  <c r="G578" i="62"/>
  <c r="G579" i="62"/>
  <c r="G580" i="62"/>
  <c r="G581" i="62"/>
  <c r="G582" i="62"/>
  <c r="G583" i="62"/>
  <c r="G584" i="62"/>
  <c r="G585" i="62"/>
  <c r="G586" i="62"/>
  <c r="G587" i="62"/>
  <c r="G588" i="62"/>
  <c r="G589" i="62"/>
  <c r="G590" i="62"/>
  <c r="G591" i="62"/>
  <c r="G592" i="62"/>
  <c r="G593" i="62"/>
  <c r="G594" i="62"/>
  <c r="G595" i="62"/>
  <c r="G596" i="62"/>
  <c r="G597" i="62"/>
  <c r="G598" i="62"/>
  <c r="G599" i="62"/>
  <c r="G600" i="62"/>
  <c r="G601" i="62"/>
  <c r="G602" i="62"/>
  <c r="G603" i="62"/>
  <c r="G604" i="62"/>
  <c r="G605" i="62"/>
  <c r="G606" i="62"/>
  <c r="G607" i="62"/>
  <c r="G608" i="62"/>
  <c r="G609" i="62"/>
  <c r="G610" i="62"/>
  <c r="G611" i="62"/>
  <c r="G612" i="62"/>
  <c r="G613" i="62"/>
  <c r="G614" i="62"/>
  <c r="G615" i="62"/>
  <c r="G616" i="62"/>
  <c r="G617" i="62"/>
  <c r="G618" i="62"/>
  <c r="G619" i="62"/>
  <c r="G620" i="62"/>
  <c r="G621" i="62"/>
  <c r="G622" i="62"/>
  <c r="G623" i="62"/>
  <c r="G624" i="62"/>
  <c r="G625" i="62"/>
  <c r="G626" i="62"/>
  <c r="G627" i="62"/>
  <c r="G628" i="62"/>
  <c r="G629" i="62"/>
  <c r="G630" i="62"/>
  <c r="G631" i="62"/>
  <c r="G632" i="62"/>
  <c r="G633" i="62"/>
  <c r="G634" i="62"/>
  <c r="G635" i="62"/>
  <c r="G636" i="62"/>
  <c r="G637" i="62"/>
  <c r="G638" i="62"/>
  <c r="G639" i="62"/>
  <c r="G640" i="62"/>
  <c r="G641" i="62"/>
  <c r="G642" i="62"/>
  <c r="G643" i="62"/>
  <c r="G644" i="62"/>
  <c r="G645" i="62"/>
  <c r="G646" i="62"/>
  <c r="G647" i="62"/>
  <c r="G648" i="62"/>
  <c r="G649" i="62"/>
  <c r="G650" i="62"/>
  <c r="G651" i="62"/>
  <c r="G652" i="62"/>
  <c r="G653" i="62"/>
  <c r="G654" i="62"/>
  <c r="G655" i="62"/>
  <c r="G656" i="62"/>
  <c r="G657" i="62"/>
  <c r="G658" i="62"/>
  <c r="G659" i="62"/>
  <c r="G660" i="62"/>
  <c r="G661" i="62"/>
  <c r="G662" i="62"/>
  <c r="G663" i="62"/>
  <c r="G664" i="62"/>
  <c r="G2" i="62"/>
</calcChain>
</file>

<file path=xl/sharedStrings.xml><?xml version="1.0" encoding="utf-8"?>
<sst xmlns="http://schemas.openxmlformats.org/spreadsheetml/2006/main" count="1020" uniqueCount="29">
  <si>
    <t>Document Number</t>
  </si>
  <si>
    <t>G/L Account</t>
  </si>
  <si>
    <t>User Name</t>
  </si>
  <si>
    <t>Amount in local currency</t>
  </si>
  <si>
    <t>Document Header Text</t>
  </si>
  <si>
    <t>Date</t>
  </si>
  <si>
    <t>Month</t>
  </si>
  <si>
    <t>Week Number</t>
  </si>
  <si>
    <t>Quarter</t>
  </si>
  <si>
    <t>0100FITY4004</t>
  </si>
  <si>
    <t>SUHAINI</t>
  </si>
  <si>
    <t>0100FIAR7006</t>
  </si>
  <si>
    <t>JAMNAH</t>
  </si>
  <si>
    <t>0100FIAR7028</t>
  </si>
  <si>
    <t>amie adlina</t>
  </si>
  <si>
    <t>0106FIAC7012</t>
  </si>
  <si>
    <t>0100FIAR7001</t>
  </si>
  <si>
    <t>0100FIAR7007</t>
  </si>
  <si>
    <t>0100FITY4006</t>
  </si>
  <si>
    <t>IERAH</t>
  </si>
  <si>
    <t>UFAIRAH</t>
  </si>
  <si>
    <t>JAMALI</t>
  </si>
  <si>
    <t>0100FIAR5001</t>
  </si>
  <si>
    <t>MUIZ</t>
  </si>
  <si>
    <t>NAZIERAH</t>
  </si>
  <si>
    <t>0100FIAR3004</t>
  </si>
  <si>
    <t>VA Acc</t>
  </si>
  <si>
    <t>SITIBOT</t>
  </si>
  <si>
    <t>0100FIAR7011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</si>
</sst>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Border="0"/>
  </cellStyleXfs>
  <cellXfs count="4">
    <xf numFmtId="0" fontId="0" fillId="0" borderId="0" xfId="0"/>
    <xf numFmtId="22" fontId="0" fillId="0" borderId="0" xfId="0" applyNumberFormat="1" applyFill="1" applyAlignment="1" applyProtection="1"/>
    <xf numFmtId="0" fontId="0" fillId="0" borderId="0" xfId="0"/>
    <xf numFmtId="14" fontId="0" fillId="0" borderId="0" xfId="0" applyNumberFormat="1"/>
  </cellXfs>
  <cellStyles count="2">
    <cellStyle name="Normal" xfId="0" builtinId="0"/>
    <cellStyle name="Normal 2" xfId="1" xr:uid="{FD58B098-AF1F-46E1-BE5D-7A5E6A550D5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Radio" firstButton="1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Radio" firstButton="1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checked="Checked" firstButton="1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checked="Checked" firstButton="1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Radio" checked="Checked" lockText="1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Radio" firstButton="1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3</xdr:row>
          <xdr:rowOff>47625</xdr:rowOff>
        </xdr:from>
        <xdr:to>
          <xdr:col>4</xdr:col>
          <xdr:colOff>47625</xdr:colOff>
          <xdr:row>4</xdr:row>
          <xdr:rowOff>114300</xdr:rowOff>
        </xdr:to>
        <xdr:sp macro="" textlink="">
          <xdr:nvSpPr>
            <xdr:cNvPr id="4104" name="Option 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5</xdr:row>
          <xdr:rowOff>38100</xdr:rowOff>
        </xdr:from>
        <xdr:to>
          <xdr:col>3</xdr:col>
          <xdr:colOff>219075</xdr:colOff>
          <xdr:row>6</xdr:row>
          <xdr:rowOff>85725</xdr:rowOff>
        </xdr:to>
        <xdr:sp macro="" textlink="">
          <xdr:nvSpPr>
            <xdr:cNvPr id="4105" name="Option 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7</xdr:row>
          <xdr:rowOff>47625</xdr:rowOff>
        </xdr:from>
        <xdr:to>
          <xdr:col>3</xdr:col>
          <xdr:colOff>219075</xdr:colOff>
          <xdr:row>8</xdr:row>
          <xdr:rowOff>85725</xdr:rowOff>
        </xdr:to>
        <xdr:sp macro="" textlink="">
          <xdr:nvSpPr>
            <xdr:cNvPr id="4106" name="Option 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9</xdr:row>
          <xdr:rowOff>28575</xdr:rowOff>
        </xdr:from>
        <xdr:to>
          <xdr:col>3</xdr:col>
          <xdr:colOff>352425</xdr:colOff>
          <xdr:row>10</xdr:row>
          <xdr:rowOff>104775</xdr:rowOff>
        </xdr:to>
        <xdr:sp macro="" textlink="">
          <xdr:nvSpPr>
            <xdr:cNvPr id="4107" name="Option 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2</xdr:row>
          <xdr:rowOff>85725</xdr:rowOff>
        </xdr:from>
        <xdr:to>
          <xdr:col>5</xdr:col>
          <xdr:colOff>9525</xdr:colOff>
          <xdr:row>14</xdr:row>
          <xdr:rowOff>133350</xdr:rowOff>
        </xdr:to>
        <xdr:sp macro="" textlink="">
          <xdr:nvSpPr>
            <xdr:cNvPr id="4108" name="Group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Report By Amount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</xdr:row>
          <xdr:rowOff>47625</xdr:rowOff>
        </xdr:from>
        <xdr:to>
          <xdr:col>11</xdr:col>
          <xdr:colOff>47625</xdr:colOff>
          <xdr:row>4</xdr:row>
          <xdr:rowOff>114300</xdr:rowOff>
        </xdr:to>
        <xdr:sp macro="" textlink="">
          <xdr:nvSpPr>
            <xdr:cNvPr id="4109" name="Option 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5</xdr:row>
          <xdr:rowOff>38100</xdr:rowOff>
        </xdr:from>
        <xdr:to>
          <xdr:col>10</xdr:col>
          <xdr:colOff>219075</xdr:colOff>
          <xdr:row>6</xdr:row>
          <xdr:rowOff>85725</xdr:rowOff>
        </xdr:to>
        <xdr:sp macro="" textlink="">
          <xdr:nvSpPr>
            <xdr:cNvPr id="4110" name="Option 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1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7</xdr:row>
          <xdr:rowOff>47625</xdr:rowOff>
        </xdr:from>
        <xdr:to>
          <xdr:col>10</xdr:col>
          <xdr:colOff>219075</xdr:colOff>
          <xdr:row>8</xdr:row>
          <xdr:rowOff>85725</xdr:rowOff>
        </xdr:to>
        <xdr:sp macro="" textlink="">
          <xdr:nvSpPr>
            <xdr:cNvPr id="4111" name="Option 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9</xdr:row>
          <xdr:rowOff>28575</xdr:rowOff>
        </xdr:from>
        <xdr:to>
          <xdr:col>10</xdr:col>
          <xdr:colOff>352425</xdr:colOff>
          <xdr:row>10</xdr:row>
          <xdr:rowOff>104775</xdr:rowOff>
        </xdr:to>
        <xdr:sp macro="" textlink="">
          <xdr:nvSpPr>
            <xdr:cNvPr id="4112" name="Option 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1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2</xdr:row>
          <xdr:rowOff>85725</xdr:rowOff>
        </xdr:from>
        <xdr:to>
          <xdr:col>11</xdr:col>
          <xdr:colOff>533400</xdr:colOff>
          <xdr:row>14</xdr:row>
          <xdr:rowOff>104775</xdr:rowOff>
        </xdr:to>
        <xdr:sp macro="" textlink="">
          <xdr:nvSpPr>
            <xdr:cNvPr id="4113" name="Group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Report By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66675</xdr:rowOff>
        </xdr:from>
        <xdr:to>
          <xdr:col>12</xdr:col>
          <xdr:colOff>514350</xdr:colOff>
          <xdr:row>16</xdr:row>
          <xdr:rowOff>28575</xdr:rowOff>
        </xdr:to>
        <xdr:sp macro="" textlink="">
          <xdr:nvSpPr>
            <xdr:cNvPr id="4114" name="Group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1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Account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16</xdr:row>
          <xdr:rowOff>180975</xdr:rowOff>
        </xdr:from>
        <xdr:to>
          <xdr:col>12</xdr:col>
          <xdr:colOff>19050</xdr:colOff>
          <xdr:row>32</xdr:row>
          <xdr:rowOff>76200</xdr:rowOff>
        </xdr:to>
        <xdr:sp macro="" textlink="">
          <xdr:nvSpPr>
            <xdr:cNvPr id="4115" name="Group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User ID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19</xdr:row>
          <xdr:rowOff>66675</xdr:rowOff>
        </xdr:from>
        <xdr:to>
          <xdr:col>5</xdr:col>
          <xdr:colOff>161925</xdr:colOff>
          <xdr:row>21</xdr:row>
          <xdr:rowOff>95250</xdr:rowOff>
        </xdr:to>
        <xdr:sp macro="" textlink="">
          <xdr:nvSpPr>
            <xdr:cNvPr id="4117" name="Option 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Report-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21</xdr:row>
          <xdr:rowOff>180975</xdr:rowOff>
        </xdr:from>
        <xdr:to>
          <xdr:col>4</xdr:col>
          <xdr:colOff>514350</xdr:colOff>
          <xdr:row>23</xdr:row>
          <xdr:rowOff>161925</xdr:rowOff>
        </xdr:to>
        <xdr:sp macro="" textlink="">
          <xdr:nvSpPr>
            <xdr:cNvPr id="4118" name="Option 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24</xdr:row>
          <xdr:rowOff>85725</xdr:rowOff>
        </xdr:from>
        <xdr:to>
          <xdr:col>6</xdr:col>
          <xdr:colOff>47625</xdr:colOff>
          <xdr:row>25</xdr:row>
          <xdr:rowOff>142875</xdr:rowOff>
        </xdr:to>
        <xdr:sp macro="" textlink="">
          <xdr:nvSpPr>
            <xdr:cNvPr id="4119" name="Option 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26</xdr:row>
          <xdr:rowOff>76200</xdr:rowOff>
        </xdr:from>
        <xdr:to>
          <xdr:col>5</xdr:col>
          <xdr:colOff>190500</xdr:colOff>
          <xdr:row>28</xdr:row>
          <xdr:rowOff>47625</xdr:rowOff>
        </xdr:to>
        <xdr:sp macro="" textlink="">
          <xdr:nvSpPr>
            <xdr:cNvPr id="4120" name="Option 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3</xdr:row>
          <xdr:rowOff>0</xdr:rowOff>
        </xdr:from>
        <xdr:to>
          <xdr:col>16</xdr:col>
          <xdr:colOff>542925</xdr:colOff>
          <xdr:row>5</xdr:row>
          <xdr:rowOff>85725</xdr:rowOff>
        </xdr:to>
        <xdr:sp macro="" textlink="">
          <xdr:nvSpPr>
            <xdr:cNvPr id="4121" name="Option 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1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Click This to Add Date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333375</xdr:colOff>
          <xdr:row>5</xdr:row>
          <xdr:rowOff>142875</xdr:rowOff>
        </xdr:from>
        <xdr:to>
          <xdr:col>16</xdr:col>
          <xdr:colOff>542925</xdr:colOff>
          <xdr:row>7</xdr:row>
          <xdr:rowOff>47625</xdr:rowOff>
        </xdr:to>
        <xdr:sp macro="" textlink="">
          <xdr:nvSpPr>
            <xdr:cNvPr id="4122" name="Option 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Populate Week Month and Quarter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11</xdr:row>
          <xdr:rowOff>28575</xdr:rowOff>
        </xdr:from>
        <xdr:to>
          <xdr:col>3</xdr:col>
          <xdr:colOff>161925</xdr:colOff>
          <xdr:row>12</xdr:row>
          <xdr:rowOff>66675</xdr:rowOff>
        </xdr:to>
        <xdr:sp macro="" textlink="">
          <xdr:nvSpPr>
            <xdr:cNvPr id="4123" name="Option 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11</xdr:row>
          <xdr:rowOff>28575</xdr:rowOff>
        </xdr:from>
        <xdr:to>
          <xdr:col>10</xdr:col>
          <xdr:colOff>285750</xdr:colOff>
          <xdr:row>12</xdr:row>
          <xdr:rowOff>66675</xdr:rowOff>
        </xdr:to>
        <xdr:sp macro="" textlink="">
          <xdr:nvSpPr>
            <xdr:cNvPr id="4124" name="Option 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28</xdr:row>
          <xdr:rowOff>104775</xdr:rowOff>
        </xdr:from>
        <xdr:to>
          <xdr:col>5</xdr:col>
          <xdr:colOff>104775</xdr:colOff>
          <xdr:row>29</xdr:row>
          <xdr:rowOff>142875</xdr:rowOff>
        </xdr:to>
        <xdr:sp macro="" textlink="">
          <xdr:nvSpPr>
            <xdr:cNvPr id="4125" name="Option 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19</xdr:row>
          <xdr:rowOff>19050</xdr:rowOff>
        </xdr:from>
        <xdr:to>
          <xdr:col>5</xdr:col>
          <xdr:colOff>600075</xdr:colOff>
          <xdr:row>31</xdr:row>
          <xdr:rowOff>104775</xdr:rowOff>
        </xdr:to>
        <xdr:sp macro="" textlink="">
          <xdr:nvSpPr>
            <xdr:cNvPr id="4126" name="Group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By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18</xdr:row>
          <xdr:rowOff>180975</xdr:rowOff>
        </xdr:from>
        <xdr:to>
          <xdr:col>11</xdr:col>
          <xdr:colOff>28575</xdr:colOff>
          <xdr:row>31</xdr:row>
          <xdr:rowOff>123825</xdr:rowOff>
        </xdr:to>
        <xdr:sp macro="" textlink="">
          <xdr:nvSpPr>
            <xdr:cNvPr id="4127" name="Group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1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By Amount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581025</xdr:colOff>
          <xdr:row>20</xdr:row>
          <xdr:rowOff>66675</xdr:rowOff>
        </xdr:from>
        <xdr:to>
          <xdr:col>9</xdr:col>
          <xdr:colOff>457200</xdr:colOff>
          <xdr:row>21</xdr:row>
          <xdr:rowOff>104775</xdr:rowOff>
        </xdr:to>
        <xdr:sp macro="" textlink="">
          <xdr:nvSpPr>
            <xdr:cNvPr id="4128" name="Option 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1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22</xdr:row>
          <xdr:rowOff>76200</xdr:rowOff>
        </xdr:from>
        <xdr:to>
          <xdr:col>9</xdr:col>
          <xdr:colOff>295275</xdr:colOff>
          <xdr:row>23</xdr:row>
          <xdr:rowOff>95250</xdr:rowOff>
        </xdr:to>
        <xdr:sp macro="" textlink="">
          <xdr:nvSpPr>
            <xdr:cNvPr id="4129" name="Option 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1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24</xdr:row>
          <xdr:rowOff>66675</xdr:rowOff>
        </xdr:from>
        <xdr:to>
          <xdr:col>9</xdr:col>
          <xdr:colOff>409575</xdr:colOff>
          <xdr:row>25</xdr:row>
          <xdr:rowOff>104775</xdr:rowOff>
        </xdr:to>
        <xdr:sp macro="" textlink="">
          <xdr:nvSpPr>
            <xdr:cNvPr id="4130" name="Option 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26</xdr:row>
          <xdr:rowOff>85725</xdr:rowOff>
        </xdr:from>
        <xdr:to>
          <xdr:col>9</xdr:col>
          <xdr:colOff>352425</xdr:colOff>
          <xdr:row>27</xdr:row>
          <xdr:rowOff>123825</xdr:rowOff>
        </xdr:to>
        <xdr:sp macro="" textlink="">
          <xdr:nvSpPr>
            <xdr:cNvPr id="4131" name="Option 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1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28</xdr:row>
          <xdr:rowOff>66675</xdr:rowOff>
        </xdr:from>
        <xdr:to>
          <xdr:col>9</xdr:col>
          <xdr:colOff>409575</xdr:colOff>
          <xdr:row>29</xdr:row>
          <xdr:rowOff>104775</xdr:rowOff>
        </xdr:to>
        <xdr:sp macro="" textlink="">
          <xdr:nvSpPr>
            <xdr:cNvPr id="4132" name="Option 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1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CC6EC-057D-4A2B-83DE-575283C4EBFC}">
  <dimension ref="A1:I664"/>
  <sheetViews>
    <sheetView tabSelected="1" workbookViewId="0">
      <selection activeCell="I2" sqref="I2:I664"/>
    </sheetView>
  </sheetViews>
  <sheetFormatPr defaultRowHeight="15" x14ac:dyDescent="0.25"/>
  <cols>
    <col min="6" max="6" width="9.7109375" bestFit="1" customWidth="1"/>
  </cols>
  <sheetData>
    <row r="1" spans="1:9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 x14ac:dyDescent="0.25">
      <c r="A2">
        <v>2800061513</v>
      </c>
      <c r="B2">
        <v>271151</v>
      </c>
      <c r="C2" t="s">
        <v>9</v>
      </c>
      <c r="D2">
        <v>2310</v>
      </c>
      <c r="E2" t="s">
        <v>10</v>
      </c>
      <c r="F2" s="3">
        <v>44120</v>
      </c>
      <c r="G2" t="str">
        <f>TEXT(F2,"mmmm")</f>
        <v>October</v>
      </c>
      <c r="H2" t="str">
        <f>"Week "&amp;((WEEKNUM(F2)-WEEKNUM(DATE(YEAR(F2),MONTH(F2),1))+1))</f>
        <v>Week 3</v>
      </c>
      <c r="I2" t="str">
        <f>"Quarter " &amp; ROUNDUP((MONTH(F2))/3,0)</f>
        <v>Quarter 4</v>
      </c>
    </row>
    <row r="3" spans="1:9" x14ac:dyDescent="0.25">
      <c r="A3">
        <v>2800061161</v>
      </c>
      <c r="B3">
        <v>271351</v>
      </c>
      <c r="C3" t="s">
        <v>11</v>
      </c>
      <c r="D3">
        <v>208.95</v>
      </c>
      <c r="F3" s="3">
        <v>44120</v>
      </c>
      <c r="G3" s="2" t="str">
        <f t="shared" ref="G3:G66" si="0">TEXT(F3,"mmmm")</f>
        <v>October</v>
      </c>
      <c r="H3" s="2" t="str">
        <f t="shared" ref="H3:H66" si="1">"Week "&amp;((WEEKNUM(F3)-WEEKNUM(DATE(YEAR(F3),MONTH(F3),1))+1))</f>
        <v>Week 3</v>
      </c>
      <c r="I3" s="2" t="str">
        <f t="shared" ref="I3:I66" si="2">"Quarter " &amp; ROUNDUP((MONTH(F3))/3,0)</f>
        <v>Quarter 4</v>
      </c>
    </row>
    <row r="4" spans="1:9" x14ac:dyDescent="0.25">
      <c r="A4">
        <v>2800061197</v>
      </c>
      <c r="B4">
        <v>271351</v>
      </c>
      <c r="C4" t="s">
        <v>11</v>
      </c>
      <c r="D4">
        <v>102.45</v>
      </c>
      <c r="F4" s="3">
        <v>44120</v>
      </c>
      <c r="G4" s="2" t="str">
        <f t="shared" si="0"/>
        <v>October</v>
      </c>
      <c r="H4" s="2" t="str">
        <f t="shared" si="1"/>
        <v>Week 3</v>
      </c>
      <c r="I4" s="2" t="str">
        <f t="shared" si="2"/>
        <v>Quarter 4</v>
      </c>
    </row>
    <row r="5" spans="1:9" x14ac:dyDescent="0.25">
      <c r="A5">
        <v>2800061198</v>
      </c>
      <c r="B5">
        <v>271351</v>
      </c>
      <c r="C5" t="s">
        <v>11</v>
      </c>
      <c r="D5">
        <v>10.25</v>
      </c>
      <c r="F5" s="3">
        <v>44120</v>
      </c>
      <c r="G5" s="2" t="str">
        <f t="shared" si="0"/>
        <v>October</v>
      </c>
      <c r="H5" s="2" t="str">
        <f t="shared" si="1"/>
        <v>Week 3</v>
      </c>
      <c r="I5" s="2" t="str">
        <f t="shared" si="2"/>
        <v>Quarter 4</v>
      </c>
    </row>
    <row r="6" spans="1:9" x14ac:dyDescent="0.25">
      <c r="A6">
        <v>2800061208</v>
      </c>
      <c r="B6">
        <v>271351</v>
      </c>
      <c r="C6" t="s">
        <v>11</v>
      </c>
      <c r="D6">
        <v>20.45</v>
      </c>
      <c r="F6" s="3">
        <v>44120</v>
      </c>
      <c r="G6" s="2" t="str">
        <f t="shared" si="0"/>
        <v>October</v>
      </c>
      <c r="H6" s="2" t="str">
        <f t="shared" si="1"/>
        <v>Week 3</v>
      </c>
      <c r="I6" s="2" t="str">
        <f t="shared" si="2"/>
        <v>Quarter 4</v>
      </c>
    </row>
    <row r="7" spans="1:9" x14ac:dyDescent="0.25">
      <c r="A7">
        <v>2800061209</v>
      </c>
      <c r="B7">
        <v>271351</v>
      </c>
      <c r="C7" t="s">
        <v>11</v>
      </c>
      <c r="D7">
        <v>57.9</v>
      </c>
      <c r="F7" s="3">
        <v>44120</v>
      </c>
      <c r="G7" s="2" t="str">
        <f t="shared" si="0"/>
        <v>October</v>
      </c>
      <c r="H7" s="2" t="str">
        <f t="shared" si="1"/>
        <v>Week 3</v>
      </c>
      <c r="I7" s="2" t="str">
        <f t="shared" si="2"/>
        <v>Quarter 4</v>
      </c>
    </row>
    <row r="8" spans="1:9" x14ac:dyDescent="0.25">
      <c r="A8">
        <v>2800061211</v>
      </c>
      <c r="B8">
        <v>271351</v>
      </c>
      <c r="C8" t="s">
        <v>11</v>
      </c>
      <c r="D8">
        <v>35.85</v>
      </c>
      <c r="F8" s="3">
        <v>44120</v>
      </c>
      <c r="G8" s="2" t="str">
        <f t="shared" si="0"/>
        <v>October</v>
      </c>
      <c r="H8" s="2" t="str">
        <f t="shared" si="1"/>
        <v>Week 3</v>
      </c>
      <c r="I8" s="2" t="str">
        <f t="shared" si="2"/>
        <v>Quarter 4</v>
      </c>
    </row>
    <row r="9" spans="1:9" x14ac:dyDescent="0.25">
      <c r="A9">
        <v>2800061212</v>
      </c>
      <c r="B9">
        <v>271351</v>
      </c>
      <c r="C9" t="s">
        <v>11</v>
      </c>
      <c r="D9">
        <v>128.75</v>
      </c>
      <c r="F9" s="3">
        <v>44120</v>
      </c>
      <c r="G9" s="2" t="str">
        <f t="shared" si="0"/>
        <v>October</v>
      </c>
      <c r="H9" s="2" t="str">
        <f t="shared" si="1"/>
        <v>Week 3</v>
      </c>
      <c r="I9" s="2" t="str">
        <f t="shared" si="2"/>
        <v>Quarter 4</v>
      </c>
    </row>
    <row r="10" spans="1:9" x14ac:dyDescent="0.25">
      <c r="A10">
        <v>2800061213</v>
      </c>
      <c r="B10">
        <v>271351</v>
      </c>
      <c r="C10" t="s">
        <v>11</v>
      </c>
      <c r="D10">
        <v>410.3</v>
      </c>
      <c r="F10" s="3">
        <v>44120</v>
      </c>
      <c r="G10" s="2" t="str">
        <f t="shared" si="0"/>
        <v>October</v>
      </c>
      <c r="H10" s="2" t="str">
        <f t="shared" si="1"/>
        <v>Week 3</v>
      </c>
      <c r="I10" s="2" t="str">
        <f t="shared" si="2"/>
        <v>Quarter 4</v>
      </c>
    </row>
    <row r="11" spans="1:9" x14ac:dyDescent="0.25">
      <c r="A11">
        <v>2800061218</v>
      </c>
      <c r="B11">
        <v>271351</v>
      </c>
      <c r="C11" t="s">
        <v>11</v>
      </c>
      <c r="D11">
        <v>2735.2</v>
      </c>
      <c r="F11" s="3">
        <v>44120</v>
      </c>
      <c r="G11" s="2" t="str">
        <f t="shared" si="0"/>
        <v>October</v>
      </c>
      <c r="H11" s="2" t="str">
        <f t="shared" si="1"/>
        <v>Week 3</v>
      </c>
      <c r="I11" s="2" t="str">
        <f t="shared" si="2"/>
        <v>Quarter 4</v>
      </c>
    </row>
    <row r="12" spans="1:9" x14ac:dyDescent="0.25">
      <c r="A12">
        <v>2800061220</v>
      </c>
      <c r="B12">
        <v>271351</v>
      </c>
      <c r="C12" t="s">
        <v>11</v>
      </c>
      <c r="D12">
        <v>2000</v>
      </c>
      <c r="F12" s="3">
        <v>44120</v>
      </c>
      <c r="G12" s="2" t="str">
        <f t="shared" si="0"/>
        <v>October</v>
      </c>
      <c r="H12" s="2" t="str">
        <f t="shared" si="1"/>
        <v>Week 3</v>
      </c>
      <c r="I12" s="2" t="str">
        <f t="shared" si="2"/>
        <v>Quarter 4</v>
      </c>
    </row>
    <row r="13" spans="1:9" x14ac:dyDescent="0.25">
      <c r="A13">
        <v>2800061221</v>
      </c>
      <c r="B13">
        <v>271351</v>
      </c>
      <c r="C13" t="s">
        <v>11</v>
      </c>
      <c r="D13">
        <v>1763.4</v>
      </c>
      <c r="F13" s="3">
        <v>44120</v>
      </c>
      <c r="G13" s="2" t="str">
        <f t="shared" si="0"/>
        <v>October</v>
      </c>
      <c r="H13" s="2" t="str">
        <f t="shared" si="1"/>
        <v>Week 3</v>
      </c>
      <c r="I13" s="2" t="str">
        <f t="shared" si="2"/>
        <v>Quarter 4</v>
      </c>
    </row>
    <row r="14" spans="1:9" x14ac:dyDescent="0.25">
      <c r="A14">
        <v>2800061229</v>
      </c>
      <c r="B14">
        <v>271351</v>
      </c>
      <c r="C14" t="s">
        <v>11</v>
      </c>
      <c r="D14">
        <v>1634.15</v>
      </c>
      <c r="F14" s="3">
        <v>44120</v>
      </c>
      <c r="G14" s="2" t="str">
        <f t="shared" si="0"/>
        <v>October</v>
      </c>
      <c r="H14" s="2" t="str">
        <f t="shared" si="1"/>
        <v>Week 3</v>
      </c>
      <c r="I14" s="2" t="str">
        <f t="shared" si="2"/>
        <v>Quarter 4</v>
      </c>
    </row>
    <row r="15" spans="1:9" x14ac:dyDescent="0.25">
      <c r="A15">
        <v>2800061230</v>
      </c>
      <c r="B15">
        <v>271351</v>
      </c>
      <c r="C15" t="s">
        <v>11</v>
      </c>
      <c r="D15">
        <v>1579.6</v>
      </c>
      <c r="F15" s="3">
        <v>44120</v>
      </c>
      <c r="G15" s="2" t="str">
        <f t="shared" si="0"/>
        <v>October</v>
      </c>
      <c r="H15" s="2" t="str">
        <f t="shared" si="1"/>
        <v>Week 3</v>
      </c>
      <c r="I15" s="2" t="str">
        <f t="shared" si="2"/>
        <v>Quarter 4</v>
      </c>
    </row>
    <row r="16" spans="1:9" x14ac:dyDescent="0.25">
      <c r="A16">
        <v>2800061231</v>
      </c>
      <c r="B16">
        <v>271351</v>
      </c>
      <c r="C16" t="s">
        <v>11</v>
      </c>
      <c r="D16">
        <v>1328.3</v>
      </c>
      <c r="F16" s="3">
        <v>44120</v>
      </c>
      <c r="G16" s="2" t="str">
        <f t="shared" si="0"/>
        <v>October</v>
      </c>
      <c r="H16" s="2" t="str">
        <f t="shared" si="1"/>
        <v>Week 3</v>
      </c>
      <c r="I16" s="2" t="str">
        <f t="shared" si="2"/>
        <v>Quarter 4</v>
      </c>
    </row>
    <row r="17" spans="1:9" x14ac:dyDescent="0.25">
      <c r="A17">
        <v>2800061232</v>
      </c>
      <c r="B17">
        <v>271351</v>
      </c>
      <c r="C17" t="s">
        <v>11</v>
      </c>
      <c r="D17">
        <v>957.2</v>
      </c>
      <c r="F17" s="3">
        <v>44120</v>
      </c>
      <c r="G17" s="2" t="str">
        <f t="shared" si="0"/>
        <v>October</v>
      </c>
      <c r="H17" s="2" t="str">
        <f t="shared" si="1"/>
        <v>Week 3</v>
      </c>
      <c r="I17" s="2" t="str">
        <f t="shared" si="2"/>
        <v>Quarter 4</v>
      </c>
    </row>
    <row r="18" spans="1:9" x14ac:dyDescent="0.25">
      <c r="A18">
        <v>2800061234</v>
      </c>
      <c r="B18">
        <v>271351</v>
      </c>
      <c r="C18" t="s">
        <v>11</v>
      </c>
      <c r="D18">
        <v>899.95</v>
      </c>
      <c r="F18" s="3">
        <v>44120</v>
      </c>
      <c r="G18" s="2" t="str">
        <f t="shared" si="0"/>
        <v>October</v>
      </c>
      <c r="H18" s="2" t="str">
        <f t="shared" si="1"/>
        <v>Week 3</v>
      </c>
      <c r="I18" s="2" t="str">
        <f t="shared" si="2"/>
        <v>Quarter 4</v>
      </c>
    </row>
    <row r="19" spans="1:9" x14ac:dyDescent="0.25">
      <c r="A19">
        <v>2800061235</v>
      </c>
      <c r="B19">
        <v>271351</v>
      </c>
      <c r="C19" t="s">
        <v>11</v>
      </c>
      <c r="D19">
        <v>689.55</v>
      </c>
      <c r="F19" s="3">
        <v>44120</v>
      </c>
      <c r="G19" s="2" t="str">
        <f t="shared" si="0"/>
        <v>October</v>
      </c>
      <c r="H19" s="2" t="str">
        <f t="shared" si="1"/>
        <v>Week 3</v>
      </c>
      <c r="I19" s="2" t="str">
        <f t="shared" si="2"/>
        <v>Quarter 4</v>
      </c>
    </row>
    <row r="20" spans="1:9" x14ac:dyDescent="0.25">
      <c r="A20">
        <v>2800061236</v>
      </c>
      <c r="B20">
        <v>271351</v>
      </c>
      <c r="C20" t="s">
        <v>11</v>
      </c>
      <c r="D20">
        <v>678.95</v>
      </c>
      <c r="F20" s="3">
        <v>44120</v>
      </c>
      <c r="G20" s="2" t="str">
        <f t="shared" si="0"/>
        <v>October</v>
      </c>
      <c r="H20" s="2" t="str">
        <f t="shared" si="1"/>
        <v>Week 3</v>
      </c>
      <c r="I20" s="2" t="str">
        <f t="shared" si="2"/>
        <v>Quarter 4</v>
      </c>
    </row>
    <row r="21" spans="1:9" x14ac:dyDescent="0.25">
      <c r="A21">
        <v>2800061237</v>
      </c>
      <c r="B21">
        <v>271351</v>
      </c>
      <c r="C21" t="s">
        <v>11</v>
      </c>
      <c r="D21">
        <v>614.70000000000005</v>
      </c>
      <c r="F21" s="3">
        <v>44120</v>
      </c>
      <c r="G21" s="2" t="str">
        <f t="shared" si="0"/>
        <v>October</v>
      </c>
      <c r="H21" s="2" t="str">
        <f t="shared" si="1"/>
        <v>Week 3</v>
      </c>
      <c r="I21" s="2" t="str">
        <f t="shared" si="2"/>
        <v>Quarter 4</v>
      </c>
    </row>
    <row r="22" spans="1:9" x14ac:dyDescent="0.25">
      <c r="A22">
        <v>2800061238</v>
      </c>
      <c r="B22">
        <v>271351</v>
      </c>
      <c r="C22" t="s">
        <v>11</v>
      </c>
      <c r="D22">
        <v>588.54999999999995</v>
      </c>
      <c r="F22" s="3">
        <v>44120</v>
      </c>
      <c r="G22" s="2" t="str">
        <f t="shared" si="0"/>
        <v>October</v>
      </c>
      <c r="H22" s="2" t="str">
        <f t="shared" si="1"/>
        <v>Week 3</v>
      </c>
      <c r="I22" s="2" t="str">
        <f t="shared" si="2"/>
        <v>Quarter 4</v>
      </c>
    </row>
    <row r="23" spans="1:9" x14ac:dyDescent="0.25">
      <c r="A23">
        <v>2800061239</v>
      </c>
      <c r="B23">
        <v>271351</v>
      </c>
      <c r="C23" t="s">
        <v>11</v>
      </c>
      <c r="D23">
        <v>583</v>
      </c>
      <c r="F23" s="3">
        <v>44120</v>
      </c>
      <c r="G23" s="2" t="str">
        <f t="shared" si="0"/>
        <v>October</v>
      </c>
      <c r="H23" s="2" t="str">
        <f t="shared" si="1"/>
        <v>Week 3</v>
      </c>
      <c r="I23" s="2" t="str">
        <f t="shared" si="2"/>
        <v>Quarter 4</v>
      </c>
    </row>
    <row r="24" spans="1:9" x14ac:dyDescent="0.25">
      <c r="A24">
        <v>2800061240</v>
      </c>
      <c r="B24">
        <v>271351</v>
      </c>
      <c r="C24" t="s">
        <v>11</v>
      </c>
      <c r="D24">
        <v>578.54999999999995</v>
      </c>
      <c r="F24" s="3">
        <v>44120</v>
      </c>
      <c r="G24" s="2" t="str">
        <f t="shared" si="0"/>
        <v>October</v>
      </c>
      <c r="H24" s="2" t="str">
        <f t="shared" si="1"/>
        <v>Week 3</v>
      </c>
      <c r="I24" s="2" t="str">
        <f t="shared" si="2"/>
        <v>Quarter 4</v>
      </c>
    </row>
    <row r="25" spans="1:9" x14ac:dyDescent="0.25">
      <c r="A25">
        <v>2800061241</v>
      </c>
      <c r="B25">
        <v>271351</v>
      </c>
      <c r="C25" t="s">
        <v>11</v>
      </c>
      <c r="D25">
        <v>561.54999999999995</v>
      </c>
      <c r="F25" s="3">
        <v>44120</v>
      </c>
      <c r="G25" s="2" t="str">
        <f t="shared" si="0"/>
        <v>October</v>
      </c>
      <c r="H25" s="2" t="str">
        <f t="shared" si="1"/>
        <v>Week 3</v>
      </c>
      <c r="I25" s="2" t="str">
        <f t="shared" si="2"/>
        <v>Quarter 4</v>
      </c>
    </row>
    <row r="26" spans="1:9" x14ac:dyDescent="0.25">
      <c r="A26">
        <v>2800061242</v>
      </c>
      <c r="B26">
        <v>271351</v>
      </c>
      <c r="C26" t="s">
        <v>11</v>
      </c>
      <c r="D26">
        <v>550</v>
      </c>
      <c r="F26" s="3">
        <v>44120</v>
      </c>
      <c r="G26" s="2" t="str">
        <f t="shared" si="0"/>
        <v>October</v>
      </c>
      <c r="H26" s="2" t="str">
        <f t="shared" si="1"/>
        <v>Week 3</v>
      </c>
      <c r="I26" s="2" t="str">
        <f t="shared" si="2"/>
        <v>Quarter 4</v>
      </c>
    </row>
    <row r="27" spans="1:9" x14ac:dyDescent="0.25">
      <c r="A27">
        <v>2800061243</v>
      </c>
      <c r="B27">
        <v>271351</v>
      </c>
      <c r="C27" t="s">
        <v>11</v>
      </c>
      <c r="D27">
        <v>528.1</v>
      </c>
      <c r="F27" s="3">
        <v>44120</v>
      </c>
      <c r="G27" s="2" t="str">
        <f t="shared" si="0"/>
        <v>October</v>
      </c>
      <c r="H27" s="2" t="str">
        <f t="shared" si="1"/>
        <v>Week 3</v>
      </c>
      <c r="I27" s="2" t="str">
        <f t="shared" si="2"/>
        <v>Quarter 4</v>
      </c>
    </row>
    <row r="28" spans="1:9" x14ac:dyDescent="0.25">
      <c r="A28">
        <v>2800061245</v>
      </c>
      <c r="B28">
        <v>271351</v>
      </c>
      <c r="C28" t="s">
        <v>11</v>
      </c>
      <c r="D28">
        <v>524.65</v>
      </c>
      <c r="F28" s="3">
        <v>44120</v>
      </c>
      <c r="G28" s="2" t="str">
        <f t="shared" si="0"/>
        <v>October</v>
      </c>
      <c r="H28" s="2" t="str">
        <f t="shared" si="1"/>
        <v>Week 3</v>
      </c>
      <c r="I28" s="2" t="str">
        <f t="shared" si="2"/>
        <v>Quarter 4</v>
      </c>
    </row>
    <row r="29" spans="1:9" x14ac:dyDescent="0.25">
      <c r="A29">
        <v>2800061246</v>
      </c>
      <c r="B29">
        <v>271351</v>
      </c>
      <c r="C29" t="s">
        <v>11</v>
      </c>
      <c r="D29">
        <v>493.2</v>
      </c>
      <c r="F29" s="3">
        <v>44120</v>
      </c>
      <c r="G29" s="2" t="str">
        <f t="shared" si="0"/>
        <v>October</v>
      </c>
      <c r="H29" s="2" t="str">
        <f t="shared" si="1"/>
        <v>Week 3</v>
      </c>
      <c r="I29" s="2" t="str">
        <f t="shared" si="2"/>
        <v>Quarter 4</v>
      </c>
    </row>
    <row r="30" spans="1:9" x14ac:dyDescent="0.25">
      <c r="A30">
        <v>2800061247</v>
      </c>
      <c r="B30">
        <v>271351</v>
      </c>
      <c r="C30" t="s">
        <v>11</v>
      </c>
      <c r="D30">
        <v>413.25</v>
      </c>
      <c r="F30" s="3">
        <v>44120</v>
      </c>
      <c r="G30" s="2" t="str">
        <f t="shared" si="0"/>
        <v>October</v>
      </c>
      <c r="H30" s="2" t="str">
        <f t="shared" si="1"/>
        <v>Week 3</v>
      </c>
      <c r="I30" s="2" t="str">
        <f t="shared" si="2"/>
        <v>Quarter 4</v>
      </c>
    </row>
    <row r="31" spans="1:9" x14ac:dyDescent="0.25">
      <c r="A31">
        <v>2800061248</v>
      </c>
      <c r="B31">
        <v>271351</v>
      </c>
      <c r="C31" t="s">
        <v>11</v>
      </c>
      <c r="D31">
        <v>392.75</v>
      </c>
      <c r="F31" s="3">
        <v>44120</v>
      </c>
      <c r="G31" s="2" t="str">
        <f t="shared" si="0"/>
        <v>October</v>
      </c>
      <c r="H31" s="2" t="str">
        <f t="shared" si="1"/>
        <v>Week 3</v>
      </c>
      <c r="I31" s="2" t="str">
        <f t="shared" si="2"/>
        <v>Quarter 4</v>
      </c>
    </row>
    <row r="32" spans="1:9" x14ac:dyDescent="0.25">
      <c r="A32">
        <v>2800061250</v>
      </c>
      <c r="B32">
        <v>271351</v>
      </c>
      <c r="C32" t="s">
        <v>11</v>
      </c>
      <c r="D32">
        <v>384.25</v>
      </c>
      <c r="F32" s="3">
        <v>44120</v>
      </c>
      <c r="G32" s="2" t="str">
        <f t="shared" si="0"/>
        <v>October</v>
      </c>
      <c r="H32" s="2" t="str">
        <f t="shared" si="1"/>
        <v>Week 3</v>
      </c>
      <c r="I32" s="2" t="str">
        <f t="shared" si="2"/>
        <v>Quarter 4</v>
      </c>
    </row>
    <row r="33" spans="1:9" x14ac:dyDescent="0.25">
      <c r="A33">
        <v>2800061251</v>
      </c>
      <c r="B33">
        <v>271351</v>
      </c>
      <c r="C33" t="s">
        <v>11</v>
      </c>
      <c r="D33">
        <v>350.9</v>
      </c>
      <c r="F33" s="3">
        <v>44120</v>
      </c>
      <c r="G33" s="2" t="str">
        <f t="shared" si="0"/>
        <v>October</v>
      </c>
      <c r="H33" s="2" t="str">
        <f t="shared" si="1"/>
        <v>Week 3</v>
      </c>
      <c r="I33" s="2" t="str">
        <f t="shared" si="2"/>
        <v>Quarter 4</v>
      </c>
    </row>
    <row r="34" spans="1:9" x14ac:dyDescent="0.25">
      <c r="A34">
        <v>2800061252</v>
      </c>
      <c r="B34">
        <v>271351</v>
      </c>
      <c r="C34" t="s">
        <v>11</v>
      </c>
      <c r="D34">
        <v>320.64999999999998</v>
      </c>
      <c r="F34" s="3">
        <v>44120</v>
      </c>
      <c r="G34" s="2" t="str">
        <f t="shared" si="0"/>
        <v>October</v>
      </c>
      <c r="H34" s="2" t="str">
        <f t="shared" si="1"/>
        <v>Week 3</v>
      </c>
      <c r="I34" s="2" t="str">
        <f t="shared" si="2"/>
        <v>Quarter 4</v>
      </c>
    </row>
    <row r="35" spans="1:9" x14ac:dyDescent="0.25">
      <c r="A35">
        <v>2800061253</v>
      </c>
      <c r="B35">
        <v>271351</v>
      </c>
      <c r="C35" t="s">
        <v>11</v>
      </c>
      <c r="D35">
        <v>298.89999999999998</v>
      </c>
      <c r="F35" s="3">
        <v>44120</v>
      </c>
      <c r="G35" s="2" t="str">
        <f t="shared" si="0"/>
        <v>October</v>
      </c>
      <c r="H35" s="2" t="str">
        <f t="shared" si="1"/>
        <v>Week 3</v>
      </c>
      <c r="I35" s="2" t="str">
        <f t="shared" si="2"/>
        <v>Quarter 4</v>
      </c>
    </row>
    <row r="36" spans="1:9" x14ac:dyDescent="0.25">
      <c r="A36">
        <v>2800061254</v>
      </c>
      <c r="B36">
        <v>271351</v>
      </c>
      <c r="C36" t="s">
        <v>11</v>
      </c>
      <c r="D36">
        <v>288.85000000000002</v>
      </c>
      <c r="F36" s="3">
        <v>44120</v>
      </c>
      <c r="G36" s="2" t="str">
        <f t="shared" si="0"/>
        <v>October</v>
      </c>
      <c r="H36" s="2" t="str">
        <f t="shared" si="1"/>
        <v>Week 3</v>
      </c>
      <c r="I36" s="2" t="str">
        <f t="shared" si="2"/>
        <v>Quarter 4</v>
      </c>
    </row>
    <row r="37" spans="1:9" x14ac:dyDescent="0.25">
      <c r="A37">
        <v>2800061255</v>
      </c>
      <c r="B37">
        <v>271351</v>
      </c>
      <c r="C37" t="s">
        <v>11</v>
      </c>
      <c r="D37">
        <v>278.25</v>
      </c>
      <c r="F37" s="3">
        <v>44120</v>
      </c>
      <c r="G37" s="2" t="str">
        <f t="shared" si="0"/>
        <v>October</v>
      </c>
      <c r="H37" s="2" t="str">
        <f t="shared" si="1"/>
        <v>Week 3</v>
      </c>
      <c r="I37" s="2" t="str">
        <f t="shared" si="2"/>
        <v>Quarter 4</v>
      </c>
    </row>
    <row r="38" spans="1:9" x14ac:dyDescent="0.25">
      <c r="A38">
        <v>2800061256</v>
      </c>
      <c r="B38">
        <v>271351</v>
      </c>
      <c r="C38" t="s">
        <v>11</v>
      </c>
      <c r="D38">
        <v>276.75</v>
      </c>
      <c r="F38" s="3">
        <v>44120</v>
      </c>
      <c r="G38" s="2" t="str">
        <f t="shared" si="0"/>
        <v>October</v>
      </c>
      <c r="H38" s="2" t="str">
        <f t="shared" si="1"/>
        <v>Week 3</v>
      </c>
      <c r="I38" s="2" t="str">
        <f t="shared" si="2"/>
        <v>Quarter 4</v>
      </c>
    </row>
    <row r="39" spans="1:9" x14ac:dyDescent="0.25">
      <c r="A39">
        <v>2800061257</v>
      </c>
      <c r="B39">
        <v>271351</v>
      </c>
      <c r="C39" t="s">
        <v>11</v>
      </c>
      <c r="D39">
        <v>269.75</v>
      </c>
      <c r="F39" s="3">
        <v>44120</v>
      </c>
      <c r="G39" s="2" t="str">
        <f t="shared" si="0"/>
        <v>October</v>
      </c>
      <c r="H39" s="2" t="str">
        <f t="shared" si="1"/>
        <v>Week 3</v>
      </c>
      <c r="I39" s="2" t="str">
        <f t="shared" si="2"/>
        <v>Quarter 4</v>
      </c>
    </row>
    <row r="40" spans="1:9" x14ac:dyDescent="0.25">
      <c r="A40">
        <v>2800061258</v>
      </c>
      <c r="B40">
        <v>271351</v>
      </c>
      <c r="C40" t="s">
        <v>11</v>
      </c>
      <c r="D40">
        <v>246.8</v>
      </c>
      <c r="F40" s="3">
        <v>44120</v>
      </c>
      <c r="G40" s="2" t="str">
        <f t="shared" si="0"/>
        <v>October</v>
      </c>
      <c r="H40" s="2" t="str">
        <f t="shared" si="1"/>
        <v>Week 3</v>
      </c>
      <c r="I40" s="2" t="str">
        <f t="shared" si="2"/>
        <v>Quarter 4</v>
      </c>
    </row>
    <row r="41" spans="1:9" x14ac:dyDescent="0.25">
      <c r="A41">
        <v>2800061272</v>
      </c>
      <c r="B41">
        <v>271351</v>
      </c>
      <c r="C41" t="s">
        <v>9</v>
      </c>
      <c r="D41">
        <v>12300</v>
      </c>
      <c r="E41" t="s">
        <v>12</v>
      </c>
      <c r="F41" s="3">
        <v>44120</v>
      </c>
      <c r="G41" s="2" t="str">
        <f t="shared" si="0"/>
        <v>October</v>
      </c>
      <c r="H41" s="2" t="str">
        <f t="shared" si="1"/>
        <v>Week 3</v>
      </c>
      <c r="I41" s="2" t="str">
        <f t="shared" si="2"/>
        <v>Quarter 4</v>
      </c>
    </row>
    <row r="42" spans="1:9" x14ac:dyDescent="0.25">
      <c r="A42">
        <v>2800061285</v>
      </c>
      <c r="B42">
        <v>271351</v>
      </c>
      <c r="C42" t="s">
        <v>11</v>
      </c>
      <c r="D42">
        <v>239.05</v>
      </c>
      <c r="F42" s="3">
        <v>44120</v>
      </c>
      <c r="G42" s="2" t="str">
        <f t="shared" si="0"/>
        <v>October</v>
      </c>
      <c r="H42" s="2" t="str">
        <f t="shared" si="1"/>
        <v>Week 3</v>
      </c>
      <c r="I42" s="2" t="str">
        <f t="shared" si="2"/>
        <v>Quarter 4</v>
      </c>
    </row>
    <row r="43" spans="1:9" x14ac:dyDescent="0.25">
      <c r="A43">
        <v>2800061286</v>
      </c>
      <c r="B43">
        <v>271351</v>
      </c>
      <c r="C43" t="s">
        <v>11</v>
      </c>
      <c r="D43">
        <v>236.65</v>
      </c>
      <c r="F43" s="3">
        <v>44120</v>
      </c>
      <c r="G43" s="2" t="str">
        <f t="shared" si="0"/>
        <v>October</v>
      </c>
      <c r="H43" s="2" t="str">
        <f t="shared" si="1"/>
        <v>Week 3</v>
      </c>
      <c r="I43" s="2" t="str">
        <f t="shared" si="2"/>
        <v>Quarter 4</v>
      </c>
    </row>
    <row r="44" spans="1:9" x14ac:dyDescent="0.25">
      <c r="A44">
        <v>2800061289</v>
      </c>
      <c r="B44">
        <v>271351</v>
      </c>
      <c r="C44" t="s">
        <v>11</v>
      </c>
      <c r="D44">
        <v>220</v>
      </c>
      <c r="F44" s="3">
        <v>44120</v>
      </c>
      <c r="G44" s="2" t="str">
        <f t="shared" si="0"/>
        <v>October</v>
      </c>
      <c r="H44" s="2" t="str">
        <f t="shared" si="1"/>
        <v>Week 3</v>
      </c>
      <c r="I44" s="2" t="str">
        <f t="shared" si="2"/>
        <v>Quarter 4</v>
      </c>
    </row>
    <row r="45" spans="1:9" x14ac:dyDescent="0.25">
      <c r="A45">
        <v>2800061290</v>
      </c>
      <c r="B45">
        <v>271351</v>
      </c>
      <c r="C45" t="s">
        <v>11</v>
      </c>
      <c r="D45">
        <v>214.05</v>
      </c>
      <c r="F45" s="3">
        <v>44120</v>
      </c>
      <c r="G45" s="2" t="str">
        <f t="shared" si="0"/>
        <v>October</v>
      </c>
      <c r="H45" s="2" t="str">
        <f t="shared" si="1"/>
        <v>Week 3</v>
      </c>
      <c r="I45" s="2" t="str">
        <f t="shared" si="2"/>
        <v>Quarter 4</v>
      </c>
    </row>
    <row r="46" spans="1:9" x14ac:dyDescent="0.25">
      <c r="A46">
        <v>2800061292</v>
      </c>
      <c r="B46">
        <v>271351</v>
      </c>
      <c r="C46" t="s">
        <v>11</v>
      </c>
      <c r="D46">
        <v>211.45</v>
      </c>
      <c r="F46" s="3">
        <v>44120</v>
      </c>
      <c r="G46" s="2" t="str">
        <f t="shared" si="0"/>
        <v>October</v>
      </c>
      <c r="H46" s="2" t="str">
        <f t="shared" si="1"/>
        <v>Week 3</v>
      </c>
      <c r="I46" s="2" t="str">
        <f t="shared" si="2"/>
        <v>Quarter 4</v>
      </c>
    </row>
    <row r="47" spans="1:9" x14ac:dyDescent="0.25">
      <c r="A47">
        <v>2800061293</v>
      </c>
      <c r="B47">
        <v>271351</v>
      </c>
      <c r="C47" t="s">
        <v>11</v>
      </c>
      <c r="D47">
        <v>209.65</v>
      </c>
      <c r="F47" s="3">
        <v>44120</v>
      </c>
      <c r="G47" s="2" t="str">
        <f t="shared" si="0"/>
        <v>October</v>
      </c>
      <c r="H47" s="2" t="str">
        <f t="shared" si="1"/>
        <v>Week 3</v>
      </c>
      <c r="I47" s="2" t="str">
        <f t="shared" si="2"/>
        <v>Quarter 4</v>
      </c>
    </row>
    <row r="48" spans="1:9" x14ac:dyDescent="0.25">
      <c r="A48">
        <v>2800061295</v>
      </c>
      <c r="B48">
        <v>271351</v>
      </c>
      <c r="C48" t="s">
        <v>11</v>
      </c>
      <c r="D48">
        <v>195.55</v>
      </c>
      <c r="F48" s="3">
        <v>44120</v>
      </c>
      <c r="G48" s="2" t="str">
        <f t="shared" si="0"/>
        <v>October</v>
      </c>
      <c r="H48" s="2" t="str">
        <f t="shared" si="1"/>
        <v>Week 3</v>
      </c>
      <c r="I48" s="2" t="str">
        <f t="shared" si="2"/>
        <v>Quarter 4</v>
      </c>
    </row>
    <row r="49" spans="1:9" x14ac:dyDescent="0.25">
      <c r="A49">
        <v>2800061297</v>
      </c>
      <c r="B49">
        <v>271351</v>
      </c>
      <c r="C49" t="s">
        <v>11</v>
      </c>
      <c r="D49">
        <v>186.75</v>
      </c>
      <c r="F49" s="3">
        <v>44120</v>
      </c>
      <c r="G49" s="2" t="str">
        <f t="shared" si="0"/>
        <v>October</v>
      </c>
      <c r="H49" s="2" t="str">
        <f t="shared" si="1"/>
        <v>Week 3</v>
      </c>
      <c r="I49" s="2" t="str">
        <f t="shared" si="2"/>
        <v>Quarter 4</v>
      </c>
    </row>
    <row r="50" spans="1:9" x14ac:dyDescent="0.25">
      <c r="A50">
        <v>2800061298</v>
      </c>
      <c r="B50">
        <v>271351</v>
      </c>
      <c r="C50" t="s">
        <v>11</v>
      </c>
      <c r="D50">
        <v>183.65</v>
      </c>
      <c r="F50" s="3">
        <v>44120</v>
      </c>
      <c r="G50" s="2" t="str">
        <f t="shared" si="0"/>
        <v>October</v>
      </c>
      <c r="H50" s="2" t="str">
        <f t="shared" si="1"/>
        <v>Week 3</v>
      </c>
      <c r="I50" s="2" t="str">
        <f t="shared" si="2"/>
        <v>Quarter 4</v>
      </c>
    </row>
    <row r="51" spans="1:9" x14ac:dyDescent="0.25">
      <c r="A51">
        <v>2800061300</v>
      </c>
      <c r="B51">
        <v>271351</v>
      </c>
      <c r="C51" t="s">
        <v>11</v>
      </c>
      <c r="D51">
        <v>175.93</v>
      </c>
      <c r="F51" s="3">
        <v>44120</v>
      </c>
      <c r="G51" s="2" t="str">
        <f t="shared" si="0"/>
        <v>October</v>
      </c>
      <c r="H51" s="2" t="str">
        <f t="shared" si="1"/>
        <v>Week 3</v>
      </c>
      <c r="I51" s="2" t="str">
        <f t="shared" si="2"/>
        <v>Quarter 4</v>
      </c>
    </row>
    <row r="52" spans="1:9" x14ac:dyDescent="0.25">
      <c r="A52">
        <v>2800061301</v>
      </c>
      <c r="B52">
        <v>271351</v>
      </c>
      <c r="C52" t="s">
        <v>11</v>
      </c>
      <c r="D52">
        <v>173.85</v>
      </c>
      <c r="F52" s="3">
        <v>44120</v>
      </c>
      <c r="G52" s="2" t="str">
        <f t="shared" si="0"/>
        <v>October</v>
      </c>
      <c r="H52" s="2" t="str">
        <f t="shared" si="1"/>
        <v>Week 3</v>
      </c>
      <c r="I52" s="2" t="str">
        <f t="shared" si="2"/>
        <v>Quarter 4</v>
      </c>
    </row>
    <row r="53" spans="1:9" x14ac:dyDescent="0.25">
      <c r="A53">
        <v>2800061303</v>
      </c>
      <c r="B53">
        <v>271351</v>
      </c>
      <c r="C53" t="s">
        <v>11</v>
      </c>
      <c r="D53">
        <v>173.6</v>
      </c>
      <c r="F53" s="3">
        <v>44120</v>
      </c>
      <c r="G53" s="2" t="str">
        <f t="shared" si="0"/>
        <v>October</v>
      </c>
      <c r="H53" s="2" t="str">
        <f t="shared" si="1"/>
        <v>Week 3</v>
      </c>
      <c r="I53" s="2" t="str">
        <f t="shared" si="2"/>
        <v>Quarter 4</v>
      </c>
    </row>
    <row r="54" spans="1:9" x14ac:dyDescent="0.25">
      <c r="A54">
        <v>2800061304</v>
      </c>
      <c r="B54">
        <v>271351</v>
      </c>
      <c r="C54" t="s">
        <v>11</v>
      </c>
      <c r="D54">
        <v>170.9</v>
      </c>
      <c r="F54" s="3">
        <v>44120</v>
      </c>
      <c r="G54" s="2" t="str">
        <f t="shared" si="0"/>
        <v>October</v>
      </c>
      <c r="H54" s="2" t="str">
        <f t="shared" si="1"/>
        <v>Week 3</v>
      </c>
      <c r="I54" s="2" t="str">
        <f t="shared" si="2"/>
        <v>Quarter 4</v>
      </c>
    </row>
    <row r="55" spans="1:9" x14ac:dyDescent="0.25">
      <c r="A55">
        <v>2800061305</v>
      </c>
      <c r="B55">
        <v>271351</v>
      </c>
      <c r="C55" t="s">
        <v>11</v>
      </c>
      <c r="D55">
        <v>166.95</v>
      </c>
      <c r="F55" s="3">
        <v>44120</v>
      </c>
      <c r="G55" s="2" t="str">
        <f t="shared" si="0"/>
        <v>October</v>
      </c>
      <c r="H55" s="2" t="str">
        <f t="shared" si="1"/>
        <v>Week 3</v>
      </c>
      <c r="I55" s="2" t="str">
        <f t="shared" si="2"/>
        <v>Quarter 4</v>
      </c>
    </row>
    <row r="56" spans="1:9" x14ac:dyDescent="0.25">
      <c r="A56">
        <v>2800061306</v>
      </c>
      <c r="B56">
        <v>271351</v>
      </c>
      <c r="C56" t="s">
        <v>11</v>
      </c>
      <c r="D56">
        <v>166.95</v>
      </c>
      <c r="F56" s="3">
        <v>44120</v>
      </c>
      <c r="G56" s="2" t="str">
        <f t="shared" si="0"/>
        <v>October</v>
      </c>
      <c r="H56" s="2" t="str">
        <f t="shared" si="1"/>
        <v>Week 3</v>
      </c>
      <c r="I56" s="2" t="str">
        <f t="shared" si="2"/>
        <v>Quarter 4</v>
      </c>
    </row>
    <row r="57" spans="1:9" x14ac:dyDescent="0.25">
      <c r="A57">
        <v>2800061307</v>
      </c>
      <c r="B57">
        <v>271351</v>
      </c>
      <c r="C57" t="s">
        <v>11</v>
      </c>
      <c r="D57">
        <v>156.35</v>
      </c>
      <c r="F57" s="3">
        <v>44120</v>
      </c>
      <c r="G57" s="2" t="str">
        <f t="shared" si="0"/>
        <v>October</v>
      </c>
      <c r="H57" s="2" t="str">
        <f t="shared" si="1"/>
        <v>Week 3</v>
      </c>
      <c r="I57" s="2" t="str">
        <f t="shared" si="2"/>
        <v>Quarter 4</v>
      </c>
    </row>
    <row r="58" spans="1:9" x14ac:dyDescent="0.25">
      <c r="A58">
        <v>2800061308</v>
      </c>
      <c r="B58">
        <v>271351</v>
      </c>
      <c r="C58" t="s">
        <v>11</v>
      </c>
      <c r="D58">
        <v>152.4</v>
      </c>
      <c r="F58" s="3">
        <v>44120</v>
      </c>
      <c r="G58" s="2" t="str">
        <f t="shared" si="0"/>
        <v>October</v>
      </c>
      <c r="H58" s="2" t="str">
        <f t="shared" si="1"/>
        <v>Week 3</v>
      </c>
      <c r="I58" s="2" t="str">
        <f t="shared" si="2"/>
        <v>Quarter 4</v>
      </c>
    </row>
    <row r="59" spans="1:9" x14ac:dyDescent="0.25">
      <c r="A59">
        <v>2800061311</v>
      </c>
      <c r="B59">
        <v>271351</v>
      </c>
      <c r="C59" t="s">
        <v>11</v>
      </c>
      <c r="D59">
        <v>144.69999999999999</v>
      </c>
      <c r="F59" s="3">
        <v>44120</v>
      </c>
      <c r="G59" s="2" t="str">
        <f t="shared" si="0"/>
        <v>October</v>
      </c>
      <c r="H59" s="2" t="str">
        <f t="shared" si="1"/>
        <v>Week 3</v>
      </c>
      <c r="I59" s="2" t="str">
        <f t="shared" si="2"/>
        <v>Quarter 4</v>
      </c>
    </row>
    <row r="60" spans="1:9" x14ac:dyDescent="0.25">
      <c r="A60">
        <v>2800061312</v>
      </c>
      <c r="B60">
        <v>271351</v>
      </c>
      <c r="C60" t="s">
        <v>11</v>
      </c>
      <c r="D60">
        <v>143.75</v>
      </c>
      <c r="F60" s="3">
        <v>44120</v>
      </c>
      <c r="G60" s="2" t="str">
        <f t="shared" si="0"/>
        <v>October</v>
      </c>
      <c r="H60" s="2" t="str">
        <f t="shared" si="1"/>
        <v>Week 3</v>
      </c>
      <c r="I60" s="2" t="str">
        <f t="shared" si="2"/>
        <v>Quarter 4</v>
      </c>
    </row>
    <row r="61" spans="1:9" x14ac:dyDescent="0.25">
      <c r="A61">
        <v>2800061313</v>
      </c>
      <c r="B61">
        <v>271351</v>
      </c>
      <c r="C61" t="s">
        <v>11</v>
      </c>
      <c r="D61">
        <v>137</v>
      </c>
      <c r="F61" s="3">
        <v>44120</v>
      </c>
      <c r="G61" s="2" t="str">
        <f t="shared" si="0"/>
        <v>October</v>
      </c>
      <c r="H61" s="2" t="str">
        <f t="shared" si="1"/>
        <v>Week 3</v>
      </c>
      <c r="I61" s="2" t="str">
        <f t="shared" si="2"/>
        <v>Quarter 4</v>
      </c>
    </row>
    <row r="62" spans="1:9" x14ac:dyDescent="0.25">
      <c r="A62">
        <v>2800061314</v>
      </c>
      <c r="B62">
        <v>271351</v>
      </c>
      <c r="C62" t="s">
        <v>11</v>
      </c>
      <c r="D62">
        <v>133.55000000000001</v>
      </c>
      <c r="F62" s="3">
        <v>44120</v>
      </c>
      <c r="G62" s="2" t="str">
        <f t="shared" si="0"/>
        <v>October</v>
      </c>
      <c r="H62" s="2" t="str">
        <f t="shared" si="1"/>
        <v>Week 3</v>
      </c>
      <c r="I62" s="2" t="str">
        <f t="shared" si="2"/>
        <v>Quarter 4</v>
      </c>
    </row>
    <row r="63" spans="1:9" x14ac:dyDescent="0.25">
      <c r="A63">
        <v>2800061315</v>
      </c>
      <c r="B63">
        <v>271351</v>
      </c>
      <c r="C63" t="s">
        <v>11</v>
      </c>
      <c r="D63">
        <v>125.6</v>
      </c>
      <c r="F63" s="3">
        <v>44120</v>
      </c>
      <c r="G63" s="2" t="str">
        <f t="shared" si="0"/>
        <v>October</v>
      </c>
      <c r="H63" s="2" t="str">
        <f t="shared" si="1"/>
        <v>Week 3</v>
      </c>
      <c r="I63" s="2" t="str">
        <f t="shared" si="2"/>
        <v>Quarter 4</v>
      </c>
    </row>
    <row r="64" spans="1:9" x14ac:dyDescent="0.25">
      <c r="A64">
        <v>2800061317</v>
      </c>
      <c r="B64">
        <v>271351</v>
      </c>
      <c r="C64" t="s">
        <v>11</v>
      </c>
      <c r="D64">
        <v>119</v>
      </c>
      <c r="F64" s="3">
        <v>44120</v>
      </c>
      <c r="G64" s="2" t="str">
        <f t="shared" si="0"/>
        <v>October</v>
      </c>
      <c r="H64" s="2" t="str">
        <f t="shared" si="1"/>
        <v>Week 3</v>
      </c>
      <c r="I64" s="2" t="str">
        <f t="shared" si="2"/>
        <v>Quarter 4</v>
      </c>
    </row>
    <row r="65" spans="1:9" x14ac:dyDescent="0.25">
      <c r="A65">
        <v>2800061318</v>
      </c>
      <c r="B65">
        <v>271351</v>
      </c>
      <c r="C65" t="s">
        <v>11</v>
      </c>
      <c r="D65">
        <v>117.95</v>
      </c>
      <c r="F65" s="3">
        <v>44120</v>
      </c>
      <c r="G65" s="2" t="str">
        <f t="shared" si="0"/>
        <v>October</v>
      </c>
      <c r="H65" s="2" t="str">
        <f t="shared" si="1"/>
        <v>Week 3</v>
      </c>
      <c r="I65" s="2" t="str">
        <f t="shared" si="2"/>
        <v>Quarter 4</v>
      </c>
    </row>
    <row r="66" spans="1:9" x14ac:dyDescent="0.25">
      <c r="A66">
        <v>2800061320</v>
      </c>
      <c r="B66">
        <v>271351</v>
      </c>
      <c r="C66" t="s">
        <v>11</v>
      </c>
      <c r="D66">
        <v>115.55</v>
      </c>
      <c r="F66" s="3">
        <v>44120</v>
      </c>
      <c r="G66" s="2" t="str">
        <f t="shared" si="0"/>
        <v>October</v>
      </c>
      <c r="H66" s="2" t="str">
        <f t="shared" si="1"/>
        <v>Week 3</v>
      </c>
      <c r="I66" s="2" t="str">
        <f t="shared" si="2"/>
        <v>Quarter 4</v>
      </c>
    </row>
    <row r="67" spans="1:9" x14ac:dyDescent="0.25">
      <c r="A67">
        <v>2800061321</v>
      </c>
      <c r="B67">
        <v>271351</v>
      </c>
      <c r="C67" t="s">
        <v>11</v>
      </c>
      <c r="D67">
        <v>113.85</v>
      </c>
      <c r="F67" s="3">
        <v>44120</v>
      </c>
      <c r="G67" s="2" t="str">
        <f t="shared" ref="G67:G130" si="3">TEXT(F67,"mmmm")</f>
        <v>October</v>
      </c>
      <c r="H67" s="2" t="str">
        <f t="shared" ref="H67:H130" si="4">"Week "&amp;((WEEKNUM(F67)-WEEKNUM(DATE(YEAR(F67),MONTH(F67),1))+1))</f>
        <v>Week 3</v>
      </c>
      <c r="I67" s="2" t="str">
        <f t="shared" ref="I67:I130" si="5">"Quarter " &amp; ROUNDUP((MONTH(F67))/3,0)</f>
        <v>Quarter 4</v>
      </c>
    </row>
    <row r="68" spans="1:9" x14ac:dyDescent="0.25">
      <c r="A68">
        <v>2800061323</v>
      </c>
      <c r="B68">
        <v>271351</v>
      </c>
      <c r="C68" t="s">
        <v>11</v>
      </c>
      <c r="D68">
        <v>113.15</v>
      </c>
      <c r="F68" s="3">
        <v>44120</v>
      </c>
      <c r="G68" s="2" t="str">
        <f t="shared" si="3"/>
        <v>October</v>
      </c>
      <c r="H68" s="2" t="str">
        <f t="shared" si="4"/>
        <v>Week 3</v>
      </c>
      <c r="I68" s="2" t="str">
        <f t="shared" si="5"/>
        <v>Quarter 4</v>
      </c>
    </row>
    <row r="69" spans="1:9" x14ac:dyDescent="0.25">
      <c r="A69">
        <v>2800061324</v>
      </c>
      <c r="B69">
        <v>271351</v>
      </c>
      <c r="C69" t="s">
        <v>11</v>
      </c>
      <c r="D69">
        <v>111.65</v>
      </c>
      <c r="F69" s="3">
        <v>44120</v>
      </c>
      <c r="G69" s="2" t="str">
        <f t="shared" si="3"/>
        <v>October</v>
      </c>
      <c r="H69" s="2" t="str">
        <f t="shared" si="4"/>
        <v>Week 3</v>
      </c>
      <c r="I69" s="2" t="str">
        <f t="shared" si="5"/>
        <v>Quarter 4</v>
      </c>
    </row>
    <row r="70" spans="1:9" x14ac:dyDescent="0.25">
      <c r="A70">
        <v>2800061325</v>
      </c>
      <c r="B70">
        <v>271351</v>
      </c>
      <c r="C70" t="s">
        <v>11</v>
      </c>
      <c r="D70">
        <v>109.2</v>
      </c>
      <c r="F70" s="3">
        <v>44120</v>
      </c>
      <c r="G70" s="2" t="str">
        <f t="shared" si="3"/>
        <v>October</v>
      </c>
      <c r="H70" s="2" t="str">
        <f t="shared" si="4"/>
        <v>Week 3</v>
      </c>
      <c r="I70" s="2" t="str">
        <f t="shared" si="5"/>
        <v>Quarter 4</v>
      </c>
    </row>
    <row r="71" spans="1:9" x14ac:dyDescent="0.25">
      <c r="A71">
        <v>2800061326</v>
      </c>
      <c r="B71">
        <v>271351</v>
      </c>
      <c r="C71" t="s">
        <v>11</v>
      </c>
      <c r="D71">
        <v>107.85</v>
      </c>
      <c r="F71" s="3">
        <v>44120</v>
      </c>
      <c r="G71" s="2" t="str">
        <f t="shared" si="3"/>
        <v>October</v>
      </c>
      <c r="H71" s="2" t="str">
        <f t="shared" si="4"/>
        <v>Week 3</v>
      </c>
      <c r="I71" s="2" t="str">
        <f t="shared" si="5"/>
        <v>Quarter 4</v>
      </c>
    </row>
    <row r="72" spans="1:9" x14ac:dyDescent="0.25">
      <c r="A72">
        <v>2800061328</v>
      </c>
      <c r="B72">
        <v>271351</v>
      </c>
      <c r="C72" t="s">
        <v>11</v>
      </c>
      <c r="D72">
        <v>101.5</v>
      </c>
      <c r="F72" s="3">
        <v>44120</v>
      </c>
      <c r="G72" s="2" t="str">
        <f t="shared" si="3"/>
        <v>October</v>
      </c>
      <c r="H72" s="2" t="str">
        <f t="shared" si="4"/>
        <v>Week 3</v>
      </c>
      <c r="I72" s="2" t="str">
        <f t="shared" si="5"/>
        <v>Quarter 4</v>
      </c>
    </row>
    <row r="73" spans="1:9" x14ac:dyDescent="0.25">
      <c r="A73">
        <v>2800061329</v>
      </c>
      <c r="B73">
        <v>271351</v>
      </c>
      <c r="C73" t="s">
        <v>11</v>
      </c>
      <c r="D73">
        <v>100.15</v>
      </c>
      <c r="F73" s="3">
        <v>44120</v>
      </c>
      <c r="G73" s="2" t="str">
        <f t="shared" si="3"/>
        <v>October</v>
      </c>
      <c r="H73" s="2" t="str">
        <f t="shared" si="4"/>
        <v>Week 3</v>
      </c>
      <c r="I73" s="2" t="str">
        <f t="shared" si="5"/>
        <v>Quarter 4</v>
      </c>
    </row>
    <row r="74" spans="1:9" x14ac:dyDescent="0.25">
      <c r="A74">
        <v>2800061330</v>
      </c>
      <c r="B74">
        <v>271351</v>
      </c>
      <c r="C74" t="s">
        <v>11</v>
      </c>
      <c r="D74">
        <v>97.3</v>
      </c>
      <c r="F74" s="3">
        <v>44120</v>
      </c>
      <c r="G74" s="2" t="str">
        <f t="shared" si="3"/>
        <v>October</v>
      </c>
      <c r="H74" s="2" t="str">
        <f t="shared" si="4"/>
        <v>Week 3</v>
      </c>
      <c r="I74" s="2" t="str">
        <f t="shared" si="5"/>
        <v>Quarter 4</v>
      </c>
    </row>
    <row r="75" spans="1:9" x14ac:dyDescent="0.25">
      <c r="A75">
        <v>2800061333</v>
      </c>
      <c r="B75">
        <v>271351</v>
      </c>
      <c r="C75" t="s">
        <v>11</v>
      </c>
      <c r="D75">
        <v>97.28</v>
      </c>
      <c r="F75" s="3">
        <v>44120</v>
      </c>
      <c r="G75" s="2" t="str">
        <f t="shared" si="3"/>
        <v>October</v>
      </c>
      <c r="H75" s="2" t="str">
        <f t="shared" si="4"/>
        <v>Week 3</v>
      </c>
      <c r="I75" s="2" t="str">
        <f t="shared" si="5"/>
        <v>Quarter 4</v>
      </c>
    </row>
    <row r="76" spans="1:9" x14ac:dyDescent="0.25">
      <c r="A76">
        <v>2800061335</v>
      </c>
      <c r="B76">
        <v>271351</v>
      </c>
      <c r="C76" t="s">
        <v>11</v>
      </c>
      <c r="D76">
        <v>89.05</v>
      </c>
      <c r="F76" s="3">
        <v>44120</v>
      </c>
      <c r="G76" s="2" t="str">
        <f t="shared" si="3"/>
        <v>October</v>
      </c>
      <c r="H76" s="2" t="str">
        <f t="shared" si="4"/>
        <v>Week 3</v>
      </c>
      <c r="I76" s="2" t="str">
        <f t="shared" si="5"/>
        <v>Quarter 4</v>
      </c>
    </row>
    <row r="77" spans="1:9" x14ac:dyDescent="0.25">
      <c r="A77">
        <v>2800061337</v>
      </c>
      <c r="B77">
        <v>271351</v>
      </c>
      <c r="C77" t="s">
        <v>11</v>
      </c>
      <c r="D77">
        <v>89.05</v>
      </c>
      <c r="F77" s="3">
        <v>44120</v>
      </c>
      <c r="G77" s="2" t="str">
        <f t="shared" si="3"/>
        <v>October</v>
      </c>
      <c r="H77" s="2" t="str">
        <f t="shared" si="4"/>
        <v>Week 3</v>
      </c>
      <c r="I77" s="2" t="str">
        <f t="shared" si="5"/>
        <v>Quarter 4</v>
      </c>
    </row>
    <row r="78" spans="1:9" x14ac:dyDescent="0.25">
      <c r="A78">
        <v>2800061338</v>
      </c>
      <c r="B78">
        <v>271351</v>
      </c>
      <c r="C78" t="s">
        <v>11</v>
      </c>
      <c r="D78">
        <v>87.7</v>
      </c>
      <c r="F78" s="3">
        <v>44120</v>
      </c>
      <c r="G78" s="2" t="str">
        <f t="shared" si="3"/>
        <v>October</v>
      </c>
      <c r="H78" s="2" t="str">
        <f t="shared" si="4"/>
        <v>Week 3</v>
      </c>
      <c r="I78" s="2" t="str">
        <f t="shared" si="5"/>
        <v>Quarter 4</v>
      </c>
    </row>
    <row r="79" spans="1:9" x14ac:dyDescent="0.25">
      <c r="A79">
        <v>2800061339</v>
      </c>
      <c r="B79">
        <v>271351</v>
      </c>
      <c r="C79" t="s">
        <v>11</v>
      </c>
      <c r="D79">
        <v>87.05</v>
      </c>
      <c r="F79" s="3">
        <v>44120</v>
      </c>
      <c r="G79" s="2" t="str">
        <f t="shared" si="3"/>
        <v>October</v>
      </c>
      <c r="H79" s="2" t="str">
        <f t="shared" si="4"/>
        <v>Week 3</v>
      </c>
      <c r="I79" s="2" t="str">
        <f t="shared" si="5"/>
        <v>Quarter 4</v>
      </c>
    </row>
    <row r="80" spans="1:9" x14ac:dyDescent="0.25">
      <c r="A80">
        <v>2800061340</v>
      </c>
      <c r="B80">
        <v>271351</v>
      </c>
      <c r="C80" t="s">
        <v>11</v>
      </c>
      <c r="D80">
        <v>81.2</v>
      </c>
      <c r="F80" s="3">
        <v>44120</v>
      </c>
      <c r="G80" s="2" t="str">
        <f t="shared" si="3"/>
        <v>October</v>
      </c>
      <c r="H80" s="2" t="str">
        <f t="shared" si="4"/>
        <v>Week 3</v>
      </c>
      <c r="I80" s="2" t="str">
        <f t="shared" si="5"/>
        <v>Quarter 4</v>
      </c>
    </row>
    <row r="81" spans="1:9" x14ac:dyDescent="0.25">
      <c r="A81">
        <v>2800061341</v>
      </c>
      <c r="B81">
        <v>271351</v>
      </c>
      <c r="C81" t="s">
        <v>11</v>
      </c>
      <c r="D81">
        <v>81.099999999999994</v>
      </c>
      <c r="F81" s="3">
        <v>44120</v>
      </c>
      <c r="G81" s="2" t="str">
        <f t="shared" si="3"/>
        <v>October</v>
      </c>
      <c r="H81" s="2" t="str">
        <f t="shared" si="4"/>
        <v>Week 3</v>
      </c>
      <c r="I81" s="2" t="str">
        <f t="shared" si="5"/>
        <v>Quarter 4</v>
      </c>
    </row>
    <row r="82" spans="1:9" x14ac:dyDescent="0.25">
      <c r="A82">
        <v>2800061342</v>
      </c>
      <c r="B82">
        <v>271351</v>
      </c>
      <c r="C82" t="s">
        <v>11</v>
      </c>
      <c r="D82">
        <v>80.2</v>
      </c>
      <c r="F82" s="3">
        <v>44120</v>
      </c>
      <c r="G82" s="2" t="str">
        <f t="shared" si="3"/>
        <v>October</v>
      </c>
      <c r="H82" s="2" t="str">
        <f t="shared" si="4"/>
        <v>Week 3</v>
      </c>
      <c r="I82" s="2" t="str">
        <f t="shared" si="5"/>
        <v>Quarter 4</v>
      </c>
    </row>
    <row r="83" spans="1:9" x14ac:dyDescent="0.25">
      <c r="A83">
        <v>2800061344</v>
      </c>
      <c r="B83">
        <v>271351</v>
      </c>
      <c r="C83" t="s">
        <v>11</v>
      </c>
      <c r="D83">
        <v>79.95</v>
      </c>
      <c r="F83" s="3">
        <v>44120</v>
      </c>
      <c r="G83" s="2" t="str">
        <f t="shared" si="3"/>
        <v>October</v>
      </c>
      <c r="H83" s="2" t="str">
        <f t="shared" si="4"/>
        <v>Week 3</v>
      </c>
      <c r="I83" s="2" t="str">
        <f t="shared" si="5"/>
        <v>Quarter 4</v>
      </c>
    </row>
    <row r="84" spans="1:9" x14ac:dyDescent="0.25">
      <c r="A84">
        <v>2800061345</v>
      </c>
      <c r="B84">
        <v>271351</v>
      </c>
      <c r="C84" t="s">
        <v>11</v>
      </c>
      <c r="D84">
        <v>78.7</v>
      </c>
      <c r="F84" s="3">
        <v>44120</v>
      </c>
      <c r="G84" s="2" t="str">
        <f t="shared" si="3"/>
        <v>October</v>
      </c>
      <c r="H84" s="2" t="str">
        <f t="shared" si="4"/>
        <v>Week 3</v>
      </c>
      <c r="I84" s="2" t="str">
        <f t="shared" si="5"/>
        <v>Quarter 4</v>
      </c>
    </row>
    <row r="85" spans="1:9" x14ac:dyDescent="0.25">
      <c r="A85">
        <v>2800061346</v>
      </c>
      <c r="B85">
        <v>271351</v>
      </c>
      <c r="C85" t="s">
        <v>11</v>
      </c>
      <c r="D85">
        <v>77.05</v>
      </c>
      <c r="F85" s="3">
        <v>44120</v>
      </c>
      <c r="G85" s="2" t="str">
        <f t="shared" si="3"/>
        <v>October</v>
      </c>
      <c r="H85" s="2" t="str">
        <f t="shared" si="4"/>
        <v>Week 3</v>
      </c>
      <c r="I85" s="2" t="str">
        <f t="shared" si="5"/>
        <v>Quarter 4</v>
      </c>
    </row>
    <row r="86" spans="1:9" x14ac:dyDescent="0.25">
      <c r="A86">
        <v>2800061347</v>
      </c>
      <c r="B86">
        <v>271351</v>
      </c>
      <c r="C86" t="s">
        <v>11</v>
      </c>
      <c r="D86">
        <v>75.55</v>
      </c>
      <c r="F86" s="3">
        <v>44120</v>
      </c>
      <c r="G86" s="2" t="str">
        <f t="shared" si="3"/>
        <v>October</v>
      </c>
      <c r="H86" s="2" t="str">
        <f t="shared" si="4"/>
        <v>Week 3</v>
      </c>
      <c r="I86" s="2" t="str">
        <f t="shared" si="5"/>
        <v>Quarter 4</v>
      </c>
    </row>
    <row r="87" spans="1:9" x14ac:dyDescent="0.25">
      <c r="A87">
        <v>2800061348</v>
      </c>
      <c r="B87">
        <v>271351</v>
      </c>
      <c r="C87" t="s">
        <v>11</v>
      </c>
      <c r="D87">
        <v>72.900000000000006</v>
      </c>
      <c r="F87" s="3">
        <v>44120</v>
      </c>
      <c r="G87" s="2" t="str">
        <f t="shared" si="3"/>
        <v>October</v>
      </c>
      <c r="H87" s="2" t="str">
        <f t="shared" si="4"/>
        <v>Week 3</v>
      </c>
      <c r="I87" s="2" t="str">
        <f t="shared" si="5"/>
        <v>Quarter 4</v>
      </c>
    </row>
    <row r="88" spans="1:9" x14ac:dyDescent="0.25">
      <c r="A88">
        <v>2800061350</v>
      </c>
      <c r="B88">
        <v>271351</v>
      </c>
      <c r="C88" t="s">
        <v>11</v>
      </c>
      <c r="D88">
        <v>72.650000000000006</v>
      </c>
      <c r="F88" s="3">
        <v>44120</v>
      </c>
      <c r="G88" s="2" t="str">
        <f t="shared" si="3"/>
        <v>October</v>
      </c>
      <c r="H88" s="2" t="str">
        <f t="shared" si="4"/>
        <v>Week 3</v>
      </c>
      <c r="I88" s="2" t="str">
        <f t="shared" si="5"/>
        <v>Quarter 4</v>
      </c>
    </row>
    <row r="89" spans="1:9" x14ac:dyDescent="0.25">
      <c r="A89">
        <v>2800061351</v>
      </c>
      <c r="B89">
        <v>271351</v>
      </c>
      <c r="C89" t="s">
        <v>11</v>
      </c>
      <c r="D89">
        <v>72.650000000000006</v>
      </c>
      <c r="F89" s="3">
        <v>44120</v>
      </c>
      <c r="G89" s="2" t="str">
        <f t="shared" si="3"/>
        <v>October</v>
      </c>
      <c r="H89" s="2" t="str">
        <f t="shared" si="4"/>
        <v>Week 3</v>
      </c>
      <c r="I89" s="2" t="str">
        <f t="shared" si="5"/>
        <v>Quarter 4</v>
      </c>
    </row>
    <row r="90" spans="1:9" x14ac:dyDescent="0.25">
      <c r="A90">
        <v>2800061352</v>
      </c>
      <c r="B90">
        <v>271351</v>
      </c>
      <c r="C90" t="s">
        <v>11</v>
      </c>
      <c r="D90">
        <v>72.599999999999994</v>
      </c>
      <c r="F90" s="3">
        <v>44120</v>
      </c>
      <c r="G90" s="2" t="str">
        <f t="shared" si="3"/>
        <v>October</v>
      </c>
      <c r="H90" s="2" t="str">
        <f t="shared" si="4"/>
        <v>Week 3</v>
      </c>
      <c r="I90" s="2" t="str">
        <f t="shared" si="5"/>
        <v>Quarter 4</v>
      </c>
    </row>
    <row r="91" spans="1:9" x14ac:dyDescent="0.25">
      <c r="A91">
        <v>2800061353</v>
      </c>
      <c r="B91">
        <v>271351</v>
      </c>
      <c r="C91" t="s">
        <v>11</v>
      </c>
      <c r="D91">
        <v>72.099999999999994</v>
      </c>
      <c r="F91" s="3">
        <v>44120</v>
      </c>
      <c r="G91" s="2" t="str">
        <f t="shared" si="3"/>
        <v>October</v>
      </c>
      <c r="H91" s="2" t="str">
        <f t="shared" si="4"/>
        <v>Week 3</v>
      </c>
      <c r="I91" s="2" t="str">
        <f t="shared" si="5"/>
        <v>Quarter 4</v>
      </c>
    </row>
    <row r="92" spans="1:9" x14ac:dyDescent="0.25">
      <c r="A92">
        <v>2800061354</v>
      </c>
      <c r="B92">
        <v>271351</v>
      </c>
      <c r="C92" t="s">
        <v>11</v>
      </c>
      <c r="D92">
        <v>67.8</v>
      </c>
      <c r="F92" s="3">
        <v>44120</v>
      </c>
      <c r="G92" s="2" t="str">
        <f t="shared" si="3"/>
        <v>October</v>
      </c>
      <c r="H92" s="2" t="str">
        <f t="shared" si="4"/>
        <v>Week 3</v>
      </c>
      <c r="I92" s="2" t="str">
        <f t="shared" si="5"/>
        <v>Quarter 4</v>
      </c>
    </row>
    <row r="93" spans="1:9" x14ac:dyDescent="0.25">
      <c r="A93">
        <v>2800061355</v>
      </c>
      <c r="B93">
        <v>271351</v>
      </c>
      <c r="C93" t="s">
        <v>11</v>
      </c>
      <c r="D93">
        <v>66.55</v>
      </c>
      <c r="F93" s="3">
        <v>44120</v>
      </c>
      <c r="G93" s="2" t="str">
        <f t="shared" si="3"/>
        <v>October</v>
      </c>
      <c r="H93" s="2" t="str">
        <f t="shared" si="4"/>
        <v>Week 3</v>
      </c>
      <c r="I93" s="2" t="str">
        <f t="shared" si="5"/>
        <v>Quarter 4</v>
      </c>
    </row>
    <row r="94" spans="1:9" x14ac:dyDescent="0.25">
      <c r="A94">
        <v>2800061356</v>
      </c>
      <c r="B94">
        <v>271351</v>
      </c>
      <c r="C94" t="s">
        <v>11</v>
      </c>
      <c r="D94">
        <v>66.3</v>
      </c>
      <c r="F94" s="3">
        <v>44120</v>
      </c>
      <c r="G94" s="2" t="str">
        <f t="shared" si="3"/>
        <v>October</v>
      </c>
      <c r="H94" s="2" t="str">
        <f t="shared" si="4"/>
        <v>Week 3</v>
      </c>
      <c r="I94" s="2" t="str">
        <f t="shared" si="5"/>
        <v>Quarter 4</v>
      </c>
    </row>
    <row r="95" spans="1:9" x14ac:dyDescent="0.25">
      <c r="A95">
        <v>2800061358</v>
      </c>
      <c r="B95">
        <v>271351</v>
      </c>
      <c r="C95" t="s">
        <v>11</v>
      </c>
      <c r="D95">
        <v>65.099999999999994</v>
      </c>
      <c r="F95" s="3">
        <v>44120</v>
      </c>
      <c r="G95" s="2" t="str">
        <f t="shared" si="3"/>
        <v>October</v>
      </c>
      <c r="H95" s="2" t="str">
        <f t="shared" si="4"/>
        <v>Week 3</v>
      </c>
      <c r="I95" s="2" t="str">
        <f t="shared" si="5"/>
        <v>Quarter 4</v>
      </c>
    </row>
    <row r="96" spans="1:9" x14ac:dyDescent="0.25">
      <c r="A96">
        <v>2800061359</v>
      </c>
      <c r="B96">
        <v>271351</v>
      </c>
      <c r="C96" t="s">
        <v>11</v>
      </c>
      <c r="D96">
        <v>64.400000000000006</v>
      </c>
      <c r="F96" s="3">
        <v>44120</v>
      </c>
      <c r="G96" s="2" t="str">
        <f t="shared" si="3"/>
        <v>October</v>
      </c>
      <c r="H96" s="2" t="str">
        <f t="shared" si="4"/>
        <v>Week 3</v>
      </c>
      <c r="I96" s="2" t="str">
        <f t="shared" si="5"/>
        <v>Quarter 4</v>
      </c>
    </row>
    <row r="97" spans="1:9" x14ac:dyDescent="0.25">
      <c r="A97">
        <v>2800061361</v>
      </c>
      <c r="B97">
        <v>271351</v>
      </c>
      <c r="C97" t="s">
        <v>11</v>
      </c>
      <c r="D97">
        <v>62</v>
      </c>
      <c r="F97" s="3">
        <v>44120</v>
      </c>
      <c r="G97" s="2" t="str">
        <f t="shared" si="3"/>
        <v>October</v>
      </c>
      <c r="H97" s="2" t="str">
        <f t="shared" si="4"/>
        <v>Week 3</v>
      </c>
      <c r="I97" s="2" t="str">
        <f t="shared" si="5"/>
        <v>Quarter 4</v>
      </c>
    </row>
    <row r="98" spans="1:9" x14ac:dyDescent="0.25">
      <c r="A98">
        <v>2800061362</v>
      </c>
      <c r="B98">
        <v>271351</v>
      </c>
      <c r="C98" t="s">
        <v>11</v>
      </c>
      <c r="D98">
        <v>57.75</v>
      </c>
      <c r="F98" s="3">
        <v>44120</v>
      </c>
      <c r="G98" s="2" t="str">
        <f t="shared" si="3"/>
        <v>October</v>
      </c>
      <c r="H98" s="2" t="str">
        <f t="shared" si="4"/>
        <v>Week 3</v>
      </c>
      <c r="I98" s="2" t="str">
        <f t="shared" si="5"/>
        <v>Quarter 4</v>
      </c>
    </row>
    <row r="99" spans="1:9" x14ac:dyDescent="0.25">
      <c r="A99">
        <v>2800061363</v>
      </c>
      <c r="B99">
        <v>271351</v>
      </c>
      <c r="C99" t="s">
        <v>11</v>
      </c>
      <c r="D99">
        <v>57.05</v>
      </c>
      <c r="F99" s="3">
        <v>44120</v>
      </c>
      <c r="G99" s="2" t="str">
        <f t="shared" si="3"/>
        <v>October</v>
      </c>
      <c r="H99" s="2" t="str">
        <f t="shared" si="4"/>
        <v>Week 3</v>
      </c>
      <c r="I99" s="2" t="str">
        <f t="shared" si="5"/>
        <v>Quarter 4</v>
      </c>
    </row>
    <row r="100" spans="1:9" x14ac:dyDescent="0.25">
      <c r="A100">
        <v>2800061364</v>
      </c>
      <c r="B100">
        <v>271351</v>
      </c>
      <c r="C100" t="s">
        <v>11</v>
      </c>
      <c r="D100">
        <v>57</v>
      </c>
      <c r="F100" s="3">
        <v>44120</v>
      </c>
      <c r="G100" s="2" t="str">
        <f t="shared" si="3"/>
        <v>October</v>
      </c>
      <c r="H100" s="2" t="str">
        <f t="shared" si="4"/>
        <v>Week 3</v>
      </c>
      <c r="I100" s="2" t="str">
        <f t="shared" si="5"/>
        <v>Quarter 4</v>
      </c>
    </row>
    <row r="101" spans="1:9" x14ac:dyDescent="0.25">
      <c r="A101">
        <v>2800061366</v>
      </c>
      <c r="B101">
        <v>271351</v>
      </c>
      <c r="C101" t="s">
        <v>11</v>
      </c>
      <c r="D101">
        <v>56.7</v>
      </c>
      <c r="F101" s="3">
        <v>44120</v>
      </c>
      <c r="G101" s="2" t="str">
        <f t="shared" si="3"/>
        <v>October</v>
      </c>
      <c r="H101" s="2" t="str">
        <f t="shared" si="4"/>
        <v>Week 3</v>
      </c>
      <c r="I101" s="2" t="str">
        <f t="shared" si="5"/>
        <v>Quarter 4</v>
      </c>
    </row>
    <row r="102" spans="1:9" x14ac:dyDescent="0.25">
      <c r="A102">
        <v>2800061367</v>
      </c>
      <c r="B102">
        <v>271351</v>
      </c>
      <c r="C102" t="s">
        <v>11</v>
      </c>
      <c r="D102">
        <v>56.05</v>
      </c>
      <c r="F102" s="3">
        <v>44120</v>
      </c>
      <c r="G102" s="2" t="str">
        <f t="shared" si="3"/>
        <v>October</v>
      </c>
      <c r="H102" s="2" t="str">
        <f t="shared" si="4"/>
        <v>Week 3</v>
      </c>
      <c r="I102" s="2" t="str">
        <f t="shared" si="5"/>
        <v>Quarter 4</v>
      </c>
    </row>
    <row r="103" spans="1:9" x14ac:dyDescent="0.25">
      <c r="A103">
        <v>2800061368</v>
      </c>
      <c r="B103">
        <v>271351</v>
      </c>
      <c r="C103" t="s">
        <v>11</v>
      </c>
      <c r="D103">
        <v>55.9</v>
      </c>
      <c r="F103" s="3">
        <v>44120</v>
      </c>
      <c r="G103" s="2" t="str">
        <f t="shared" si="3"/>
        <v>October</v>
      </c>
      <c r="H103" s="2" t="str">
        <f t="shared" si="4"/>
        <v>Week 3</v>
      </c>
      <c r="I103" s="2" t="str">
        <f t="shared" si="5"/>
        <v>Quarter 4</v>
      </c>
    </row>
    <row r="104" spans="1:9" x14ac:dyDescent="0.25">
      <c r="A104">
        <v>2800061369</v>
      </c>
      <c r="B104">
        <v>271351</v>
      </c>
      <c r="C104" t="s">
        <v>11</v>
      </c>
      <c r="D104">
        <v>55.65</v>
      </c>
      <c r="F104" s="3">
        <v>44120</v>
      </c>
      <c r="G104" s="2" t="str">
        <f t="shared" si="3"/>
        <v>October</v>
      </c>
      <c r="H104" s="2" t="str">
        <f t="shared" si="4"/>
        <v>Week 3</v>
      </c>
      <c r="I104" s="2" t="str">
        <f t="shared" si="5"/>
        <v>Quarter 4</v>
      </c>
    </row>
    <row r="105" spans="1:9" x14ac:dyDescent="0.25">
      <c r="A105">
        <v>2800061370</v>
      </c>
      <c r="B105">
        <v>271351</v>
      </c>
      <c r="C105" t="s">
        <v>11</v>
      </c>
      <c r="D105">
        <v>55.25</v>
      </c>
      <c r="F105" s="3">
        <v>44120</v>
      </c>
      <c r="G105" s="2" t="str">
        <f t="shared" si="3"/>
        <v>October</v>
      </c>
      <c r="H105" s="2" t="str">
        <f t="shared" si="4"/>
        <v>Week 3</v>
      </c>
      <c r="I105" s="2" t="str">
        <f t="shared" si="5"/>
        <v>Quarter 4</v>
      </c>
    </row>
    <row r="106" spans="1:9" x14ac:dyDescent="0.25">
      <c r="A106">
        <v>2800061372</v>
      </c>
      <c r="B106">
        <v>271351</v>
      </c>
      <c r="C106" t="s">
        <v>11</v>
      </c>
      <c r="D106">
        <v>53.65</v>
      </c>
      <c r="F106" s="3">
        <v>44120</v>
      </c>
      <c r="G106" s="2" t="str">
        <f t="shared" si="3"/>
        <v>October</v>
      </c>
      <c r="H106" s="2" t="str">
        <f t="shared" si="4"/>
        <v>Week 3</v>
      </c>
      <c r="I106" s="2" t="str">
        <f t="shared" si="5"/>
        <v>Quarter 4</v>
      </c>
    </row>
    <row r="107" spans="1:9" x14ac:dyDescent="0.25">
      <c r="A107">
        <v>2800061373</v>
      </c>
      <c r="B107">
        <v>271351</v>
      </c>
      <c r="C107" t="s">
        <v>11</v>
      </c>
      <c r="D107">
        <v>52.2</v>
      </c>
      <c r="F107" s="3">
        <v>44120</v>
      </c>
      <c r="G107" s="2" t="str">
        <f t="shared" si="3"/>
        <v>October</v>
      </c>
      <c r="H107" s="2" t="str">
        <f t="shared" si="4"/>
        <v>Week 3</v>
      </c>
      <c r="I107" s="2" t="str">
        <f t="shared" si="5"/>
        <v>Quarter 4</v>
      </c>
    </row>
    <row r="108" spans="1:9" x14ac:dyDescent="0.25">
      <c r="A108">
        <v>2800061375</v>
      </c>
      <c r="B108">
        <v>271351</v>
      </c>
      <c r="C108" t="s">
        <v>11</v>
      </c>
      <c r="D108">
        <v>50.55</v>
      </c>
      <c r="F108" s="3">
        <v>44120</v>
      </c>
      <c r="G108" s="2" t="str">
        <f t="shared" si="3"/>
        <v>October</v>
      </c>
      <c r="H108" s="2" t="str">
        <f t="shared" si="4"/>
        <v>Week 3</v>
      </c>
      <c r="I108" s="2" t="str">
        <f t="shared" si="5"/>
        <v>Quarter 4</v>
      </c>
    </row>
    <row r="109" spans="1:9" x14ac:dyDescent="0.25">
      <c r="A109">
        <v>2800061377</v>
      </c>
      <c r="B109">
        <v>271351</v>
      </c>
      <c r="C109" t="s">
        <v>11</v>
      </c>
      <c r="D109">
        <v>50.2</v>
      </c>
      <c r="F109" s="3">
        <v>44120</v>
      </c>
      <c r="G109" s="2" t="str">
        <f t="shared" si="3"/>
        <v>October</v>
      </c>
      <c r="H109" s="2" t="str">
        <f t="shared" si="4"/>
        <v>Week 3</v>
      </c>
      <c r="I109" s="2" t="str">
        <f t="shared" si="5"/>
        <v>Quarter 4</v>
      </c>
    </row>
    <row r="110" spans="1:9" x14ac:dyDescent="0.25">
      <c r="A110">
        <v>2800061378</v>
      </c>
      <c r="B110">
        <v>271351</v>
      </c>
      <c r="C110" t="s">
        <v>11</v>
      </c>
      <c r="D110">
        <v>50.1</v>
      </c>
      <c r="F110" s="3">
        <v>44120</v>
      </c>
      <c r="G110" s="2" t="str">
        <f t="shared" si="3"/>
        <v>October</v>
      </c>
      <c r="H110" s="2" t="str">
        <f t="shared" si="4"/>
        <v>Week 3</v>
      </c>
      <c r="I110" s="2" t="str">
        <f t="shared" si="5"/>
        <v>Quarter 4</v>
      </c>
    </row>
    <row r="111" spans="1:9" x14ac:dyDescent="0.25">
      <c r="A111">
        <v>2800061379</v>
      </c>
      <c r="B111">
        <v>271351</v>
      </c>
      <c r="C111" t="s">
        <v>11</v>
      </c>
      <c r="D111">
        <v>50</v>
      </c>
      <c r="F111" s="3">
        <v>44120</v>
      </c>
      <c r="G111" s="2" t="str">
        <f t="shared" si="3"/>
        <v>October</v>
      </c>
      <c r="H111" s="2" t="str">
        <f t="shared" si="4"/>
        <v>Week 3</v>
      </c>
      <c r="I111" s="2" t="str">
        <f t="shared" si="5"/>
        <v>Quarter 4</v>
      </c>
    </row>
    <row r="112" spans="1:9" x14ac:dyDescent="0.25">
      <c r="A112">
        <v>2800061380</v>
      </c>
      <c r="B112">
        <v>271351</v>
      </c>
      <c r="C112" t="s">
        <v>11</v>
      </c>
      <c r="D112">
        <v>49.75</v>
      </c>
      <c r="F112" s="3">
        <v>44120</v>
      </c>
      <c r="G112" s="2" t="str">
        <f t="shared" si="3"/>
        <v>October</v>
      </c>
      <c r="H112" s="2" t="str">
        <f t="shared" si="4"/>
        <v>Week 3</v>
      </c>
      <c r="I112" s="2" t="str">
        <f t="shared" si="5"/>
        <v>Quarter 4</v>
      </c>
    </row>
    <row r="113" spans="1:9" x14ac:dyDescent="0.25">
      <c r="A113">
        <v>2800061381</v>
      </c>
      <c r="B113">
        <v>271351</v>
      </c>
      <c r="C113" t="s">
        <v>11</v>
      </c>
      <c r="D113">
        <v>48.25</v>
      </c>
      <c r="F113" s="3">
        <v>44120</v>
      </c>
      <c r="G113" s="2" t="str">
        <f t="shared" si="3"/>
        <v>October</v>
      </c>
      <c r="H113" s="2" t="str">
        <f t="shared" si="4"/>
        <v>Week 3</v>
      </c>
      <c r="I113" s="2" t="str">
        <f t="shared" si="5"/>
        <v>Quarter 4</v>
      </c>
    </row>
    <row r="114" spans="1:9" x14ac:dyDescent="0.25">
      <c r="A114">
        <v>2800061382</v>
      </c>
      <c r="B114">
        <v>271351</v>
      </c>
      <c r="C114" t="s">
        <v>11</v>
      </c>
      <c r="D114">
        <v>46.3</v>
      </c>
      <c r="F114" s="3">
        <v>44120</v>
      </c>
      <c r="G114" s="2" t="str">
        <f t="shared" si="3"/>
        <v>October</v>
      </c>
      <c r="H114" s="2" t="str">
        <f t="shared" si="4"/>
        <v>Week 3</v>
      </c>
      <c r="I114" s="2" t="str">
        <f t="shared" si="5"/>
        <v>Quarter 4</v>
      </c>
    </row>
    <row r="115" spans="1:9" x14ac:dyDescent="0.25">
      <c r="A115">
        <v>2800061383</v>
      </c>
      <c r="B115">
        <v>271351</v>
      </c>
      <c r="C115" t="s">
        <v>11</v>
      </c>
      <c r="D115">
        <v>44.5</v>
      </c>
      <c r="F115" s="3">
        <v>44120</v>
      </c>
      <c r="G115" s="2" t="str">
        <f t="shared" si="3"/>
        <v>October</v>
      </c>
      <c r="H115" s="2" t="str">
        <f t="shared" si="4"/>
        <v>Week 3</v>
      </c>
      <c r="I115" s="2" t="str">
        <f t="shared" si="5"/>
        <v>Quarter 4</v>
      </c>
    </row>
    <row r="116" spans="1:9" x14ac:dyDescent="0.25">
      <c r="A116">
        <v>2800061385</v>
      </c>
      <c r="B116">
        <v>271351</v>
      </c>
      <c r="C116" t="s">
        <v>11</v>
      </c>
      <c r="D116">
        <v>44.5</v>
      </c>
      <c r="F116" s="3">
        <v>44120</v>
      </c>
      <c r="G116" s="2" t="str">
        <f t="shared" si="3"/>
        <v>October</v>
      </c>
      <c r="H116" s="2" t="str">
        <f t="shared" si="4"/>
        <v>Week 3</v>
      </c>
      <c r="I116" s="2" t="str">
        <f t="shared" si="5"/>
        <v>Quarter 4</v>
      </c>
    </row>
    <row r="117" spans="1:9" x14ac:dyDescent="0.25">
      <c r="A117">
        <v>2800061386</v>
      </c>
      <c r="B117">
        <v>271351</v>
      </c>
      <c r="C117" t="s">
        <v>11</v>
      </c>
      <c r="D117">
        <v>44.25</v>
      </c>
      <c r="F117" s="3">
        <v>44120</v>
      </c>
      <c r="G117" s="2" t="str">
        <f t="shared" si="3"/>
        <v>October</v>
      </c>
      <c r="H117" s="2" t="str">
        <f t="shared" si="4"/>
        <v>Week 3</v>
      </c>
      <c r="I117" s="2" t="str">
        <f t="shared" si="5"/>
        <v>Quarter 4</v>
      </c>
    </row>
    <row r="118" spans="1:9" x14ac:dyDescent="0.25">
      <c r="A118">
        <v>2800061387</v>
      </c>
      <c r="B118">
        <v>271351</v>
      </c>
      <c r="C118" t="s">
        <v>11</v>
      </c>
      <c r="D118">
        <v>43.2</v>
      </c>
      <c r="F118" s="3">
        <v>44120</v>
      </c>
      <c r="G118" s="2" t="str">
        <f t="shared" si="3"/>
        <v>October</v>
      </c>
      <c r="H118" s="2" t="str">
        <f t="shared" si="4"/>
        <v>Week 3</v>
      </c>
      <c r="I118" s="2" t="str">
        <f t="shared" si="5"/>
        <v>Quarter 4</v>
      </c>
    </row>
    <row r="119" spans="1:9" x14ac:dyDescent="0.25">
      <c r="A119">
        <v>2800061388</v>
      </c>
      <c r="B119">
        <v>271351</v>
      </c>
      <c r="C119" t="s">
        <v>11</v>
      </c>
      <c r="D119">
        <v>42.95</v>
      </c>
      <c r="F119" s="3">
        <v>44120</v>
      </c>
      <c r="G119" s="2" t="str">
        <f t="shared" si="3"/>
        <v>October</v>
      </c>
      <c r="H119" s="2" t="str">
        <f t="shared" si="4"/>
        <v>Week 3</v>
      </c>
      <c r="I119" s="2" t="str">
        <f t="shared" si="5"/>
        <v>Quarter 4</v>
      </c>
    </row>
    <row r="120" spans="1:9" x14ac:dyDescent="0.25">
      <c r="A120">
        <v>2800061389</v>
      </c>
      <c r="B120">
        <v>271351</v>
      </c>
      <c r="C120" t="s">
        <v>11</v>
      </c>
      <c r="D120">
        <v>41.95</v>
      </c>
      <c r="F120" s="3">
        <v>44120</v>
      </c>
      <c r="G120" s="2" t="str">
        <f t="shared" si="3"/>
        <v>October</v>
      </c>
      <c r="H120" s="2" t="str">
        <f t="shared" si="4"/>
        <v>Week 3</v>
      </c>
      <c r="I120" s="2" t="str">
        <f t="shared" si="5"/>
        <v>Quarter 4</v>
      </c>
    </row>
    <row r="121" spans="1:9" x14ac:dyDescent="0.25">
      <c r="A121">
        <v>2800061390</v>
      </c>
      <c r="B121">
        <v>271351</v>
      </c>
      <c r="C121" t="s">
        <v>11</v>
      </c>
      <c r="D121">
        <v>40.950000000000003</v>
      </c>
      <c r="F121" s="3">
        <v>44120</v>
      </c>
      <c r="G121" s="2" t="str">
        <f t="shared" si="3"/>
        <v>October</v>
      </c>
      <c r="H121" s="2" t="str">
        <f t="shared" si="4"/>
        <v>Week 3</v>
      </c>
      <c r="I121" s="2" t="str">
        <f t="shared" si="5"/>
        <v>Quarter 4</v>
      </c>
    </row>
    <row r="122" spans="1:9" x14ac:dyDescent="0.25">
      <c r="A122">
        <v>2800061392</v>
      </c>
      <c r="B122">
        <v>271351</v>
      </c>
      <c r="C122" t="s">
        <v>11</v>
      </c>
      <c r="D122">
        <v>40</v>
      </c>
      <c r="F122" s="3">
        <v>44120</v>
      </c>
      <c r="G122" s="2" t="str">
        <f t="shared" si="3"/>
        <v>October</v>
      </c>
      <c r="H122" s="2" t="str">
        <f t="shared" si="4"/>
        <v>Week 3</v>
      </c>
      <c r="I122" s="2" t="str">
        <f t="shared" si="5"/>
        <v>Quarter 4</v>
      </c>
    </row>
    <row r="123" spans="1:9" x14ac:dyDescent="0.25">
      <c r="A123">
        <v>2800061393</v>
      </c>
      <c r="B123">
        <v>271351</v>
      </c>
      <c r="C123" t="s">
        <v>11</v>
      </c>
      <c r="D123">
        <v>38.950000000000003</v>
      </c>
      <c r="F123" s="3">
        <v>44120</v>
      </c>
      <c r="G123" s="2" t="str">
        <f t="shared" si="3"/>
        <v>October</v>
      </c>
      <c r="H123" s="2" t="str">
        <f t="shared" si="4"/>
        <v>Week 3</v>
      </c>
      <c r="I123" s="2" t="str">
        <f t="shared" si="5"/>
        <v>Quarter 4</v>
      </c>
    </row>
    <row r="124" spans="1:9" x14ac:dyDescent="0.25">
      <c r="A124">
        <v>2800061394</v>
      </c>
      <c r="B124">
        <v>271351</v>
      </c>
      <c r="C124" t="s">
        <v>11</v>
      </c>
      <c r="D124">
        <v>37.549999999999997</v>
      </c>
      <c r="F124" s="3">
        <v>44120</v>
      </c>
      <c r="G124" s="2" t="str">
        <f t="shared" si="3"/>
        <v>October</v>
      </c>
      <c r="H124" s="2" t="str">
        <f t="shared" si="4"/>
        <v>Week 3</v>
      </c>
      <c r="I124" s="2" t="str">
        <f t="shared" si="5"/>
        <v>Quarter 4</v>
      </c>
    </row>
    <row r="125" spans="1:9" x14ac:dyDescent="0.25">
      <c r="A125">
        <v>2800061395</v>
      </c>
      <c r="B125">
        <v>271351</v>
      </c>
      <c r="C125" t="s">
        <v>11</v>
      </c>
      <c r="D125">
        <v>37.35</v>
      </c>
      <c r="F125" s="3">
        <v>44120</v>
      </c>
      <c r="G125" s="2" t="str">
        <f t="shared" si="3"/>
        <v>October</v>
      </c>
      <c r="H125" s="2" t="str">
        <f t="shared" si="4"/>
        <v>Week 3</v>
      </c>
      <c r="I125" s="2" t="str">
        <f t="shared" si="5"/>
        <v>Quarter 4</v>
      </c>
    </row>
    <row r="126" spans="1:9" x14ac:dyDescent="0.25">
      <c r="A126">
        <v>2800061396</v>
      </c>
      <c r="B126">
        <v>271351</v>
      </c>
      <c r="C126" t="s">
        <v>11</v>
      </c>
      <c r="D126">
        <v>37.1</v>
      </c>
      <c r="F126" s="3">
        <v>44120</v>
      </c>
      <c r="G126" s="2" t="str">
        <f t="shared" si="3"/>
        <v>October</v>
      </c>
      <c r="H126" s="2" t="str">
        <f t="shared" si="4"/>
        <v>Week 3</v>
      </c>
      <c r="I126" s="2" t="str">
        <f t="shared" si="5"/>
        <v>Quarter 4</v>
      </c>
    </row>
    <row r="127" spans="1:9" x14ac:dyDescent="0.25">
      <c r="A127">
        <v>2800061397</v>
      </c>
      <c r="B127">
        <v>271351</v>
      </c>
      <c r="C127" t="s">
        <v>11</v>
      </c>
      <c r="D127">
        <v>36.049999999999997</v>
      </c>
      <c r="F127" s="3">
        <v>44120</v>
      </c>
      <c r="G127" s="2" t="str">
        <f t="shared" si="3"/>
        <v>October</v>
      </c>
      <c r="H127" s="2" t="str">
        <f t="shared" si="4"/>
        <v>Week 3</v>
      </c>
      <c r="I127" s="2" t="str">
        <f t="shared" si="5"/>
        <v>Quarter 4</v>
      </c>
    </row>
    <row r="128" spans="1:9" x14ac:dyDescent="0.25">
      <c r="A128">
        <v>2800061399</v>
      </c>
      <c r="B128">
        <v>271351</v>
      </c>
      <c r="C128" t="s">
        <v>11</v>
      </c>
      <c r="D128">
        <v>35.85</v>
      </c>
      <c r="F128" s="3">
        <v>44120</v>
      </c>
      <c r="G128" s="2" t="str">
        <f t="shared" si="3"/>
        <v>October</v>
      </c>
      <c r="H128" s="2" t="str">
        <f t="shared" si="4"/>
        <v>Week 3</v>
      </c>
      <c r="I128" s="2" t="str">
        <f t="shared" si="5"/>
        <v>Quarter 4</v>
      </c>
    </row>
    <row r="129" spans="1:9" x14ac:dyDescent="0.25">
      <c r="A129">
        <v>2800061402</v>
      </c>
      <c r="B129">
        <v>271351</v>
      </c>
      <c r="C129" t="s">
        <v>11</v>
      </c>
      <c r="D129">
        <v>35.700000000000003</v>
      </c>
      <c r="F129" s="3">
        <v>44120</v>
      </c>
      <c r="G129" s="2" t="str">
        <f t="shared" si="3"/>
        <v>October</v>
      </c>
      <c r="H129" s="2" t="str">
        <f t="shared" si="4"/>
        <v>Week 3</v>
      </c>
      <c r="I129" s="2" t="str">
        <f t="shared" si="5"/>
        <v>Quarter 4</v>
      </c>
    </row>
    <row r="130" spans="1:9" x14ac:dyDescent="0.25">
      <c r="A130">
        <v>2800061403</v>
      </c>
      <c r="B130">
        <v>271351</v>
      </c>
      <c r="C130" t="s">
        <v>11</v>
      </c>
      <c r="D130">
        <v>35.1</v>
      </c>
      <c r="F130" s="3">
        <v>44120</v>
      </c>
      <c r="G130" s="2" t="str">
        <f t="shared" si="3"/>
        <v>October</v>
      </c>
      <c r="H130" s="2" t="str">
        <f t="shared" si="4"/>
        <v>Week 3</v>
      </c>
      <c r="I130" s="2" t="str">
        <f t="shared" si="5"/>
        <v>Quarter 4</v>
      </c>
    </row>
    <row r="131" spans="1:9" x14ac:dyDescent="0.25">
      <c r="A131">
        <v>2800061404</v>
      </c>
      <c r="B131">
        <v>271351</v>
      </c>
      <c r="C131" t="s">
        <v>11</v>
      </c>
      <c r="D131">
        <v>34.450000000000003</v>
      </c>
      <c r="F131" s="3">
        <v>44120</v>
      </c>
      <c r="G131" s="2" t="str">
        <f t="shared" ref="G131:G194" si="6">TEXT(F131,"mmmm")</f>
        <v>October</v>
      </c>
      <c r="H131" s="2" t="str">
        <f t="shared" ref="H131:H194" si="7">"Week "&amp;((WEEKNUM(F131)-WEEKNUM(DATE(YEAR(F131),MONTH(F131),1))+1))</f>
        <v>Week 3</v>
      </c>
      <c r="I131" s="2" t="str">
        <f t="shared" ref="I131:I194" si="8">"Quarter " &amp; ROUNDUP((MONTH(F131))/3,0)</f>
        <v>Quarter 4</v>
      </c>
    </row>
    <row r="132" spans="1:9" x14ac:dyDescent="0.25">
      <c r="A132">
        <v>2800061405</v>
      </c>
      <c r="B132">
        <v>271351</v>
      </c>
      <c r="C132" t="s">
        <v>11</v>
      </c>
      <c r="D132">
        <v>33.4</v>
      </c>
      <c r="F132" s="3">
        <v>44120</v>
      </c>
      <c r="G132" s="2" t="str">
        <f t="shared" si="6"/>
        <v>October</v>
      </c>
      <c r="H132" s="2" t="str">
        <f t="shared" si="7"/>
        <v>Week 3</v>
      </c>
      <c r="I132" s="2" t="str">
        <f t="shared" si="8"/>
        <v>Quarter 4</v>
      </c>
    </row>
    <row r="133" spans="1:9" x14ac:dyDescent="0.25">
      <c r="A133">
        <v>2800061406</v>
      </c>
      <c r="B133">
        <v>271351</v>
      </c>
      <c r="C133" t="s">
        <v>11</v>
      </c>
      <c r="D133">
        <v>33.4</v>
      </c>
      <c r="F133" s="3">
        <v>44120</v>
      </c>
      <c r="G133" s="2" t="str">
        <f t="shared" si="6"/>
        <v>October</v>
      </c>
      <c r="H133" s="2" t="str">
        <f t="shared" si="7"/>
        <v>Week 3</v>
      </c>
      <c r="I133" s="2" t="str">
        <f t="shared" si="8"/>
        <v>Quarter 4</v>
      </c>
    </row>
    <row r="134" spans="1:9" x14ac:dyDescent="0.25">
      <c r="A134">
        <v>2800061407</v>
      </c>
      <c r="B134">
        <v>271351</v>
      </c>
      <c r="C134" t="s">
        <v>11</v>
      </c>
      <c r="D134">
        <v>33.4</v>
      </c>
      <c r="F134" s="3">
        <v>44120</v>
      </c>
      <c r="G134" s="2" t="str">
        <f t="shared" si="6"/>
        <v>October</v>
      </c>
      <c r="H134" s="2" t="str">
        <f t="shared" si="7"/>
        <v>Week 3</v>
      </c>
      <c r="I134" s="2" t="str">
        <f t="shared" si="8"/>
        <v>Quarter 4</v>
      </c>
    </row>
    <row r="135" spans="1:9" x14ac:dyDescent="0.25">
      <c r="A135">
        <v>2800061408</v>
      </c>
      <c r="B135">
        <v>271351</v>
      </c>
      <c r="C135" t="s">
        <v>11</v>
      </c>
      <c r="D135">
        <v>32.200000000000003</v>
      </c>
      <c r="F135" s="3">
        <v>44120</v>
      </c>
      <c r="G135" s="2" t="str">
        <f t="shared" si="6"/>
        <v>October</v>
      </c>
      <c r="H135" s="2" t="str">
        <f t="shared" si="7"/>
        <v>Week 3</v>
      </c>
      <c r="I135" s="2" t="str">
        <f t="shared" si="8"/>
        <v>Quarter 4</v>
      </c>
    </row>
    <row r="136" spans="1:9" x14ac:dyDescent="0.25">
      <c r="A136">
        <v>2800061409</v>
      </c>
      <c r="B136">
        <v>271351</v>
      </c>
      <c r="C136" t="s">
        <v>11</v>
      </c>
      <c r="D136">
        <v>32.049999999999997</v>
      </c>
      <c r="F136" s="3">
        <v>44120</v>
      </c>
      <c r="G136" s="2" t="str">
        <f t="shared" si="6"/>
        <v>October</v>
      </c>
      <c r="H136" s="2" t="str">
        <f t="shared" si="7"/>
        <v>Week 3</v>
      </c>
      <c r="I136" s="2" t="str">
        <f t="shared" si="8"/>
        <v>Quarter 4</v>
      </c>
    </row>
    <row r="137" spans="1:9" x14ac:dyDescent="0.25">
      <c r="A137">
        <v>2800061411</v>
      </c>
      <c r="B137">
        <v>271351</v>
      </c>
      <c r="C137" t="s">
        <v>11</v>
      </c>
      <c r="D137">
        <v>29</v>
      </c>
      <c r="F137" s="3">
        <v>44120</v>
      </c>
      <c r="G137" s="2" t="str">
        <f t="shared" si="6"/>
        <v>October</v>
      </c>
      <c r="H137" s="2" t="str">
        <f t="shared" si="7"/>
        <v>Week 3</v>
      </c>
      <c r="I137" s="2" t="str">
        <f t="shared" si="8"/>
        <v>Quarter 4</v>
      </c>
    </row>
    <row r="138" spans="1:9" x14ac:dyDescent="0.25">
      <c r="A138">
        <v>2800061413</v>
      </c>
      <c r="B138">
        <v>271351</v>
      </c>
      <c r="C138" t="s">
        <v>11</v>
      </c>
      <c r="D138">
        <v>26.55</v>
      </c>
      <c r="F138" s="3">
        <v>44120</v>
      </c>
      <c r="G138" s="2" t="str">
        <f t="shared" si="6"/>
        <v>October</v>
      </c>
      <c r="H138" s="2" t="str">
        <f t="shared" si="7"/>
        <v>Week 3</v>
      </c>
      <c r="I138" s="2" t="str">
        <f t="shared" si="8"/>
        <v>Quarter 4</v>
      </c>
    </row>
    <row r="139" spans="1:9" x14ac:dyDescent="0.25">
      <c r="A139">
        <v>2800061416</v>
      </c>
      <c r="B139">
        <v>271351</v>
      </c>
      <c r="C139" t="s">
        <v>11</v>
      </c>
      <c r="D139">
        <v>26.55</v>
      </c>
      <c r="F139" s="3">
        <v>44120</v>
      </c>
      <c r="G139" s="2" t="str">
        <f t="shared" si="6"/>
        <v>October</v>
      </c>
      <c r="H139" s="2" t="str">
        <f t="shared" si="7"/>
        <v>Week 3</v>
      </c>
      <c r="I139" s="2" t="str">
        <f t="shared" si="8"/>
        <v>Quarter 4</v>
      </c>
    </row>
    <row r="140" spans="1:9" x14ac:dyDescent="0.25">
      <c r="A140">
        <v>2800061418</v>
      </c>
      <c r="B140">
        <v>271351</v>
      </c>
      <c r="C140" t="s">
        <v>11</v>
      </c>
      <c r="D140">
        <v>25.95</v>
      </c>
      <c r="F140" s="3">
        <v>44120</v>
      </c>
      <c r="G140" s="2" t="str">
        <f t="shared" si="6"/>
        <v>October</v>
      </c>
      <c r="H140" s="2" t="str">
        <f t="shared" si="7"/>
        <v>Week 3</v>
      </c>
      <c r="I140" s="2" t="str">
        <f t="shared" si="8"/>
        <v>Quarter 4</v>
      </c>
    </row>
    <row r="141" spans="1:9" x14ac:dyDescent="0.25">
      <c r="A141">
        <v>2800061420</v>
      </c>
      <c r="B141">
        <v>271351</v>
      </c>
      <c r="C141" t="s">
        <v>11</v>
      </c>
      <c r="D141">
        <v>24.1</v>
      </c>
      <c r="F141" s="3">
        <v>44120</v>
      </c>
      <c r="G141" s="2" t="str">
        <f t="shared" si="6"/>
        <v>October</v>
      </c>
      <c r="H141" s="2" t="str">
        <f t="shared" si="7"/>
        <v>Week 3</v>
      </c>
      <c r="I141" s="2" t="str">
        <f t="shared" si="8"/>
        <v>Quarter 4</v>
      </c>
    </row>
    <row r="142" spans="1:9" x14ac:dyDescent="0.25">
      <c r="A142">
        <v>2800061452</v>
      </c>
      <c r="B142">
        <v>271351</v>
      </c>
      <c r="C142" t="s">
        <v>11</v>
      </c>
      <c r="D142">
        <v>23.05</v>
      </c>
      <c r="F142" s="3">
        <v>44120</v>
      </c>
      <c r="G142" s="2" t="str">
        <f t="shared" si="6"/>
        <v>October</v>
      </c>
      <c r="H142" s="2" t="str">
        <f t="shared" si="7"/>
        <v>Week 3</v>
      </c>
      <c r="I142" s="2" t="str">
        <f t="shared" si="8"/>
        <v>Quarter 4</v>
      </c>
    </row>
    <row r="143" spans="1:9" x14ac:dyDescent="0.25">
      <c r="A143">
        <v>2800061453</v>
      </c>
      <c r="B143">
        <v>271351</v>
      </c>
      <c r="C143" t="s">
        <v>11</v>
      </c>
      <c r="D143">
        <v>22.65</v>
      </c>
      <c r="F143" s="3">
        <v>44120</v>
      </c>
      <c r="G143" s="2" t="str">
        <f t="shared" si="6"/>
        <v>October</v>
      </c>
      <c r="H143" s="2" t="str">
        <f t="shared" si="7"/>
        <v>Week 3</v>
      </c>
      <c r="I143" s="2" t="str">
        <f t="shared" si="8"/>
        <v>Quarter 4</v>
      </c>
    </row>
    <row r="144" spans="1:9" x14ac:dyDescent="0.25">
      <c r="A144">
        <v>2800061454</v>
      </c>
      <c r="B144">
        <v>271351</v>
      </c>
      <c r="C144" t="s">
        <v>11</v>
      </c>
      <c r="D144">
        <v>22.45</v>
      </c>
      <c r="F144" s="3">
        <v>44120</v>
      </c>
      <c r="G144" s="2" t="str">
        <f t="shared" si="6"/>
        <v>October</v>
      </c>
      <c r="H144" s="2" t="str">
        <f t="shared" si="7"/>
        <v>Week 3</v>
      </c>
      <c r="I144" s="2" t="str">
        <f t="shared" si="8"/>
        <v>Quarter 4</v>
      </c>
    </row>
    <row r="145" spans="1:9" x14ac:dyDescent="0.25">
      <c r="A145">
        <v>2800061455</v>
      </c>
      <c r="B145">
        <v>271351</v>
      </c>
      <c r="C145" t="s">
        <v>11</v>
      </c>
      <c r="D145">
        <v>20.5</v>
      </c>
      <c r="F145" s="3">
        <v>44120</v>
      </c>
      <c r="G145" s="2" t="str">
        <f t="shared" si="6"/>
        <v>October</v>
      </c>
      <c r="H145" s="2" t="str">
        <f t="shared" si="7"/>
        <v>Week 3</v>
      </c>
      <c r="I145" s="2" t="str">
        <f t="shared" si="8"/>
        <v>Quarter 4</v>
      </c>
    </row>
    <row r="146" spans="1:9" x14ac:dyDescent="0.25">
      <c r="A146">
        <v>2800061456</v>
      </c>
      <c r="B146">
        <v>271351</v>
      </c>
      <c r="C146" t="s">
        <v>11</v>
      </c>
      <c r="D146">
        <v>20.350000000000001</v>
      </c>
      <c r="F146" s="3">
        <v>44120</v>
      </c>
      <c r="G146" s="2" t="str">
        <f t="shared" si="6"/>
        <v>October</v>
      </c>
      <c r="H146" s="2" t="str">
        <f t="shared" si="7"/>
        <v>Week 3</v>
      </c>
      <c r="I146" s="2" t="str">
        <f t="shared" si="8"/>
        <v>Quarter 4</v>
      </c>
    </row>
    <row r="147" spans="1:9" x14ac:dyDescent="0.25">
      <c r="A147">
        <v>2800061457</v>
      </c>
      <c r="B147">
        <v>271351</v>
      </c>
      <c r="C147" t="s">
        <v>11</v>
      </c>
      <c r="D147">
        <v>18.55</v>
      </c>
      <c r="F147" s="3">
        <v>44120</v>
      </c>
      <c r="G147" s="2" t="str">
        <f t="shared" si="6"/>
        <v>October</v>
      </c>
      <c r="H147" s="2" t="str">
        <f t="shared" si="7"/>
        <v>Week 3</v>
      </c>
      <c r="I147" s="2" t="str">
        <f t="shared" si="8"/>
        <v>Quarter 4</v>
      </c>
    </row>
    <row r="148" spans="1:9" x14ac:dyDescent="0.25">
      <c r="A148">
        <v>2800061458</v>
      </c>
      <c r="B148">
        <v>271351</v>
      </c>
      <c r="C148" t="s">
        <v>11</v>
      </c>
      <c r="D148">
        <v>18</v>
      </c>
      <c r="F148" s="3">
        <v>44120</v>
      </c>
      <c r="G148" s="2" t="str">
        <f t="shared" si="6"/>
        <v>October</v>
      </c>
      <c r="H148" s="2" t="str">
        <f t="shared" si="7"/>
        <v>Week 3</v>
      </c>
      <c r="I148" s="2" t="str">
        <f t="shared" si="8"/>
        <v>Quarter 4</v>
      </c>
    </row>
    <row r="149" spans="1:9" x14ac:dyDescent="0.25">
      <c r="A149">
        <v>2800061460</v>
      </c>
      <c r="B149">
        <v>271351</v>
      </c>
      <c r="C149" t="s">
        <v>11</v>
      </c>
      <c r="D149">
        <v>16.7</v>
      </c>
      <c r="F149" s="3">
        <v>44120</v>
      </c>
      <c r="G149" s="2" t="str">
        <f t="shared" si="6"/>
        <v>October</v>
      </c>
      <c r="H149" s="2" t="str">
        <f t="shared" si="7"/>
        <v>Week 3</v>
      </c>
      <c r="I149" s="2" t="str">
        <f t="shared" si="8"/>
        <v>Quarter 4</v>
      </c>
    </row>
    <row r="150" spans="1:9" x14ac:dyDescent="0.25">
      <c r="A150">
        <v>2800061461</v>
      </c>
      <c r="B150">
        <v>271351</v>
      </c>
      <c r="C150" t="s">
        <v>11</v>
      </c>
      <c r="D150">
        <v>16.7</v>
      </c>
      <c r="F150" s="3">
        <v>44120</v>
      </c>
      <c r="G150" s="2" t="str">
        <f t="shared" si="6"/>
        <v>October</v>
      </c>
      <c r="H150" s="2" t="str">
        <f t="shared" si="7"/>
        <v>Week 3</v>
      </c>
      <c r="I150" s="2" t="str">
        <f t="shared" si="8"/>
        <v>Quarter 4</v>
      </c>
    </row>
    <row r="151" spans="1:9" x14ac:dyDescent="0.25">
      <c r="A151">
        <v>2800061462</v>
      </c>
      <c r="B151">
        <v>271351</v>
      </c>
      <c r="C151" t="s">
        <v>11</v>
      </c>
      <c r="D151">
        <v>15.35</v>
      </c>
      <c r="F151" s="3">
        <v>44120</v>
      </c>
      <c r="G151" s="2" t="str">
        <f t="shared" si="6"/>
        <v>October</v>
      </c>
      <c r="H151" s="2" t="str">
        <f t="shared" si="7"/>
        <v>Week 3</v>
      </c>
      <c r="I151" s="2" t="str">
        <f t="shared" si="8"/>
        <v>Quarter 4</v>
      </c>
    </row>
    <row r="152" spans="1:9" x14ac:dyDescent="0.25">
      <c r="A152">
        <v>2800061463</v>
      </c>
      <c r="B152">
        <v>271351</v>
      </c>
      <c r="C152" t="s">
        <v>11</v>
      </c>
      <c r="D152">
        <v>15.35</v>
      </c>
      <c r="F152" s="3">
        <v>44120</v>
      </c>
      <c r="G152" s="2" t="str">
        <f t="shared" si="6"/>
        <v>October</v>
      </c>
      <c r="H152" s="2" t="str">
        <f t="shared" si="7"/>
        <v>Week 3</v>
      </c>
      <c r="I152" s="2" t="str">
        <f t="shared" si="8"/>
        <v>Quarter 4</v>
      </c>
    </row>
    <row r="153" spans="1:9" x14ac:dyDescent="0.25">
      <c r="A153">
        <v>2800061465</v>
      </c>
      <c r="B153">
        <v>271351</v>
      </c>
      <c r="C153" t="s">
        <v>11</v>
      </c>
      <c r="D153">
        <v>15.35</v>
      </c>
      <c r="F153" s="3">
        <v>44120</v>
      </c>
      <c r="G153" s="2" t="str">
        <f t="shared" si="6"/>
        <v>October</v>
      </c>
      <c r="H153" s="2" t="str">
        <f t="shared" si="7"/>
        <v>Week 3</v>
      </c>
      <c r="I153" s="2" t="str">
        <f t="shared" si="8"/>
        <v>Quarter 4</v>
      </c>
    </row>
    <row r="154" spans="1:9" x14ac:dyDescent="0.25">
      <c r="A154">
        <v>2800061466</v>
      </c>
      <c r="B154">
        <v>271351</v>
      </c>
      <c r="C154" t="s">
        <v>11</v>
      </c>
      <c r="D154">
        <v>15.35</v>
      </c>
      <c r="F154" s="3">
        <v>44120</v>
      </c>
      <c r="G154" s="2" t="str">
        <f t="shared" si="6"/>
        <v>October</v>
      </c>
      <c r="H154" s="2" t="str">
        <f t="shared" si="7"/>
        <v>Week 3</v>
      </c>
      <c r="I154" s="2" t="str">
        <f t="shared" si="8"/>
        <v>Quarter 4</v>
      </c>
    </row>
    <row r="155" spans="1:9" x14ac:dyDescent="0.25">
      <c r="A155">
        <v>2800061468</v>
      </c>
      <c r="B155">
        <v>271351</v>
      </c>
      <c r="C155" t="s">
        <v>11</v>
      </c>
      <c r="D155">
        <v>15.35</v>
      </c>
      <c r="F155" s="3">
        <v>44120</v>
      </c>
      <c r="G155" s="2" t="str">
        <f t="shared" si="6"/>
        <v>October</v>
      </c>
      <c r="H155" s="2" t="str">
        <f t="shared" si="7"/>
        <v>Week 3</v>
      </c>
      <c r="I155" s="2" t="str">
        <f t="shared" si="8"/>
        <v>Quarter 4</v>
      </c>
    </row>
    <row r="156" spans="1:9" x14ac:dyDescent="0.25">
      <c r="A156">
        <v>2800061469</v>
      </c>
      <c r="B156">
        <v>271351</v>
      </c>
      <c r="C156" t="s">
        <v>11</v>
      </c>
      <c r="D156">
        <v>13.25</v>
      </c>
      <c r="F156" s="3">
        <v>44120</v>
      </c>
      <c r="G156" s="2" t="str">
        <f t="shared" si="6"/>
        <v>October</v>
      </c>
      <c r="H156" s="2" t="str">
        <f t="shared" si="7"/>
        <v>Week 3</v>
      </c>
      <c r="I156" s="2" t="str">
        <f t="shared" si="8"/>
        <v>Quarter 4</v>
      </c>
    </row>
    <row r="157" spans="1:9" x14ac:dyDescent="0.25">
      <c r="A157">
        <v>2800061471</v>
      </c>
      <c r="B157">
        <v>271351</v>
      </c>
      <c r="C157" t="s">
        <v>11</v>
      </c>
      <c r="D157">
        <v>12.46</v>
      </c>
      <c r="F157" s="3">
        <v>44120</v>
      </c>
      <c r="G157" s="2" t="str">
        <f t="shared" si="6"/>
        <v>October</v>
      </c>
      <c r="H157" s="2" t="str">
        <f t="shared" si="7"/>
        <v>Week 3</v>
      </c>
      <c r="I157" s="2" t="str">
        <f t="shared" si="8"/>
        <v>Quarter 4</v>
      </c>
    </row>
    <row r="158" spans="1:9" x14ac:dyDescent="0.25">
      <c r="A158">
        <v>2800061472</v>
      </c>
      <c r="B158">
        <v>271351</v>
      </c>
      <c r="C158" t="s">
        <v>11</v>
      </c>
      <c r="D158">
        <v>11.95</v>
      </c>
      <c r="F158" s="3">
        <v>44120</v>
      </c>
      <c r="G158" s="2" t="str">
        <f t="shared" si="6"/>
        <v>October</v>
      </c>
      <c r="H158" s="2" t="str">
        <f t="shared" si="7"/>
        <v>Week 3</v>
      </c>
      <c r="I158" s="2" t="str">
        <f t="shared" si="8"/>
        <v>Quarter 4</v>
      </c>
    </row>
    <row r="159" spans="1:9" x14ac:dyDescent="0.25">
      <c r="A159">
        <v>2800061474</v>
      </c>
      <c r="B159">
        <v>271351</v>
      </c>
      <c r="C159" t="s">
        <v>11</v>
      </c>
      <c r="D159">
        <v>11.95</v>
      </c>
      <c r="F159" s="3">
        <v>44120</v>
      </c>
      <c r="G159" s="2" t="str">
        <f t="shared" si="6"/>
        <v>October</v>
      </c>
      <c r="H159" s="2" t="str">
        <f t="shared" si="7"/>
        <v>Week 3</v>
      </c>
      <c r="I159" s="2" t="str">
        <f t="shared" si="8"/>
        <v>Quarter 4</v>
      </c>
    </row>
    <row r="160" spans="1:9" x14ac:dyDescent="0.25">
      <c r="A160">
        <v>2800061475</v>
      </c>
      <c r="B160">
        <v>271351</v>
      </c>
      <c r="C160" t="s">
        <v>11</v>
      </c>
      <c r="D160">
        <v>11.65</v>
      </c>
      <c r="F160" s="3">
        <v>44120</v>
      </c>
      <c r="G160" s="2" t="str">
        <f t="shared" si="6"/>
        <v>October</v>
      </c>
      <c r="H160" s="2" t="str">
        <f t="shared" si="7"/>
        <v>Week 3</v>
      </c>
      <c r="I160" s="2" t="str">
        <f t="shared" si="8"/>
        <v>Quarter 4</v>
      </c>
    </row>
    <row r="161" spans="1:9" x14ac:dyDescent="0.25">
      <c r="A161">
        <v>2800061476</v>
      </c>
      <c r="B161">
        <v>271351</v>
      </c>
      <c r="C161" t="s">
        <v>11</v>
      </c>
      <c r="D161">
        <v>11.2</v>
      </c>
      <c r="F161" s="3">
        <v>44120</v>
      </c>
      <c r="G161" s="2" t="str">
        <f t="shared" si="6"/>
        <v>October</v>
      </c>
      <c r="H161" s="2" t="str">
        <f t="shared" si="7"/>
        <v>Week 3</v>
      </c>
      <c r="I161" s="2" t="str">
        <f t="shared" si="8"/>
        <v>Quarter 4</v>
      </c>
    </row>
    <row r="162" spans="1:9" x14ac:dyDescent="0.25">
      <c r="A162">
        <v>2800061477</v>
      </c>
      <c r="B162">
        <v>271351</v>
      </c>
      <c r="C162" t="s">
        <v>11</v>
      </c>
      <c r="D162">
        <v>11.15</v>
      </c>
      <c r="F162" s="3">
        <v>44120</v>
      </c>
      <c r="G162" s="2" t="str">
        <f t="shared" si="6"/>
        <v>October</v>
      </c>
      <c r="H162" s="2" t="str">
        <f t="shared" si="7"/>
        <v>Week 3</v>
      </c>
      <c r="I162" s="2" t="str">
        <f t="shared" si="8"/>
        <v>Quarter 4</v>
      </c>
    </row>
    <row r="163" spans="1:9" x14ac:dyDescent="0.25">
      <c r="A163">
        <v>2800061478</v>
      </c>
      <c r="B163">
        <v>271351</v>
      </c>
      <c r="C163" t="s">
        <v>11</v>
      </c>
      <c r="D163">
        <v>11.15</v>
      </c>
      <c r="F163" s="3">
        <v>44120</v>
      </c>
      <c r="G163" s="2" t="str">
        <f t="shared" si="6"/>
        <v>October</v>
      </c>
      <c r="H163" s="2" t="str">
        <f t="shared" si="7"/>
        <v>Week 3</v>
      </c>
      <c r="I163" s="2" t="str">
        <f t="shared" si="8"/>
        <v>Quarter 4</v>
      </c>
    </row>
    <row r="164" spans="1:9" x14ac:dyDescent="0.25">
      <c r="A164">
        <v>2800061479</v>
      </c>
      <c r="B164">
        <v>271351</v>
      </c>
      <c r="C164" t="s">
        <v>11</v>
      </c>
      <c r="D164">
        <v>11.15</v>
      </c>
      <c r="F164" s="3">
        <v>44120</v>
      </c>
      <c r="G164" s="2" t="str">
        <f t="shared" si="6"/>
        <v>October</v>
      </c>
      <c r="H164" s="2" t="str">
        <f t="shared" si="7"/>
        <v>Week 3</v>
      </c>
      <c r="I164" s="2" t="str">
        <f t="shared" si="8"/>
        <v>Quarter 4</v>
      </c>
    </row>
    <row r="165" spans="1:9" x14ac:dyDescent="0.25">
      <c r="A165">
        <v>2800061480</v>
      </c>
      <c r="B165">
        <v>271351</v>
      </c>
      <c r="C165" t="s">
        <v>11</v>
      </c>
      <c r="D165">
        <v>10.25</v>
      </c>
      <c r="F165" s="3">
        <v>44120</v>
      </c>
      <c r="G165" s="2" t="str">
        <f t="shared" si="6"/>
        <v>October</v>
      </c>
      <c r="H165" s="2" t="str">
        <f t="shared" si="7"/>
        <v>Week 3</v>
      </c>
      <c r="I165" s="2" t="str">
        <f t="shared" si="8"/>
        <v>Quarter 4</v>
      </c>
    </row>
    <row r="166" spans="1:9" x14ac:dyDescent="0.25">
      <c r="A166">
        <v>2800061481</v>
      </c>
      <c r="B166">
        <v>271351</v>
      </c>
      <c r="C166" t="s">
        <v>11</v>
      </c>
      <c r="D166">
        <v>10.25</v>
      </c>
      <c r="F166" s="3">
        <v>44120</v>
      </c>
      <c r="G166" s="2" t="str">
        <f t="shared" si="6"/>
        <v>October</v>
      </c>
      <c r="H166" s="2" t="str">
        <f t="shared" si="7"/>
        <v>Week 3</v>
      </c>
      <c r="I166" s="2" t="str">
        <f t="shared" si="8"/>
        <v>Quarter 4</v>
      </c>
    </row>
    <row r="167" spans="1:9" x14ac:dyDescent="0.25">
      <c r="A167">
        <v>2800061482</v>
      </c>
      <c r="B167">
        <v>271351</v>
      </c>
      <c r="C167" t="s">
        <v>11</v>
      </c>
      <c r="D167">
        <v>10.25</v>
      </c>
      <c r="F167" s="3">
        <v>44120</v>
      </c>
      <c r="G167" s="2" t="str">
        <f t="shared" si="6"/>
        <v>October</v>
      </c>
      <c r="H167" s="2" t="str">
        <f t="shared" si="7"/>
        <v>Week 3</v>
      </c>
      <c r="I167" s="2" t="str">
        <f t="shared" si="8"/>
        <v>Quarter 4</v>
      </c>
    </row>
    <row r="168" spans="1:9" x14ac:dyDescent="0.25">
      <c r="A168">
        <v>2800061483</v>
      </c>
      <c r="B168">
        <v>271351</v>
      </c>
      <c r="C168" t="s">
        <v>11</v>
      </c>
      <c r="D168">
        <v>10.25</v>
      </c>
      <c r="F168" s="3">
        <v>44120</v>
      </c>
      <c r="G168" s="2" t="str">
        <f t="shared" si="6"/>
        <v>October</v>
      </c>
      <c r="H168" s="2" t="str">
        <f t="shared" si="7"/>
        <v>Week 3</v>
      </c>
      <c r="I168" s="2" t="str">
        <f t="shared" si="8"/>
        <v>Quarter 4</v>
      </c>
    </row>
    <row r="169" spans="1:9" x14ac:dyDescent="0.25">
      <c r="A169">
        <v>2800061484</v>
      </c>
      <c r="B169">
        <v>271351</v>
      </c>
      <c r="C169" t="s">
        <v>11</v>
      </c>
      <c r="D169">
        <v>10.25</v>
      </c>
      <c r="F169" s="3">
        <v>44120</v>
      </c>
      <c r="G169" s="2" t="str">
        <f t="shared" si="6"/>
        <v>October</v>
      </c>
      <c r="H169" s="2" t="str">
        <f t="shared" si="7"/>
        <v>Week 3</v>
      </c>
      <c r="I169" s="2" t="str">
        <f t="shared" si="8"/>
        <v>Quarter 4</v>
      </c>
    </row>
    <row r="170" spans="1:9" x14ac:dyDescent="0.25">
      <c r="A170">
        <v>2800061485</v>
      </c>
      <c r="B170">
        <v>271351</v>
      </c>
      <c r="C170" t="s">
        <v>11</v>
      </c>
      <c r="D170">
        <v>9.65</v>
      </c>
      <c r="F170" s="3">
        <v>44120</v>
      </c>
      <c r="G170" s="2" t="str">
        <f t="shared" si="6"/>
        <v>October</v>
      </c>
      <c r="H170" s="2" t="str">
        <f t="shared" si="7"/>
        <v>Week 3</v>
      </c>
      <c r="I170" s="2" t="str">
        <f t="shared" si="8"/>
        <v>Quarter 4</v>
      </c>
    </row>
    <row r="171" spans="1:9" x14ac:dyDescent="0.25">
      <c r="A171">
        <v>2800061486</v>
      </c>
      <c r="B171">
        <v>271351</v>
      </c>
      <c r="C171" t="s">
        <v>11</v>
      </c>
      <c r="D171">
        <v>7.4</v>
      </c>
      <c r="F171" s="3">
        <v>44120</v>
      </c>
      <c r="G171" s="2" t="str">
        <f t="shared" si="6"/>
        <v>October</v>
      </c>
      <c r="H171" s="2" t="str">
        <f t="shared" si="7"/>
        <v>Week 3</v>
      </c>
      <c r="I171" s="2" t="str">
        <f t="shared" si="8"/>
        <v>Quarter 4</v>
      </c>
    </row>
    <row r="172" spans="1:9" x14ac:dyDescent="0.25">
      <c r="A172">
        <v>2800061487</v>
      </c>
      <c r="B172">
        <v>271351</v>
      </c>
      <c r="C172" t="s">
        <v>11</v>
      </c>
      <c r="D172">
        <v>6.85</v>
      </c>
      <c r="F172" s="3">
        <v>44120</v>
      </c>
      <c r="G172" s="2" t="str">
        <f t="shared" si="6"/>
        <v>October</v>
      </c>
      <c r="H172" s="2" t="str">
        <f t="shared" si="7"/>
        <v>Week 3</v>
      </c>
      <c r="I172" s="2" t="str">
        <f t="shared" si="8"/>
        <v>Quarter 4</v>
      </c>
    </row>
    <row r="173" spans="1:9" x14ac:dyDescent="0.25">
      <c r="A173">
        <v>2800061488</v>
      </c>
      <c r="B173">
        <v>271351</v>
      </c>
      <c r="C173" t="s">
        <v>11</v>
      </c>
      <c r="D173">
        <v>6.2</v>
      </c>
      <c r="F173" s="3">
        <v>44120</v>
      </c>
      <c r="G173" s="2" t="str">
        <f t="shared" si="6"/>
        <v>October</v>
      </c>
      <c r="H173" s="2" t="str">
        <f t="shared" si="7"/>
        <v>Week 3</v>
      </c>
      <c r="I173" s="2" t="str">
        <f t="shared" si="8"/>
        <v>Quarter 4</v>
      </c>
    </row>
    <row r="174" spans="1:9" x14ac:dyDescent="0.25">
      <c r="A174">
        <v>2800061489</v>
      </c>
      <c r="B174">
        <v>271351</v>
      </c>
      <c r="C174" t="s">
        <v>11</v>
      </c>
      <c r="D174">
        <v>5.55</v>
      </c>
      <c r="F174" s="3">
        <v>44120</v>
      </c>
      <c r="G174" s="2" t="str">
        <f t="shared" si="6"/>
        <v>October</v>
      </c>
      <c r="H174" s="2" t="str">
        <f t="shared" si="7"/>
        <v>Week 3</v>
      </c>
      <c r="I174" s="2" t="str">
        <f t="shared" si="8"/>
        <v>Quarter 4</v>
      </c>
    </row>
    <row r="175" spans="1:9" x14ac:dyDescent="0.25">
      <c r="A175">
        <v>2800061490</v>
      </c>
      <c r="B175">
        <v>271351</v>
      </c>
      <c r="C175" t="s">
        <v>11</v>
      </c>
      <c r="D175">
        <v>5.55</v>
      </c>
      <c r="F175" s="3">
        <v>44120</v>
      </c>
      <c r="G175" s="2" t="str">
        <f t="shared" si="6"/>
        <v>October</v>
      </c>
      <c r="H175" s="2" t="str">
        <f t="shared" si="7"/>
        <v>Week 3</v>
      </c>
      <c r="I175" s="2" t="str">
        <f t="shared" si="8"/>
        <v>Quarter 4</v>
      </c>
    </row>
    <row r="176" spans="1:9" x14ac:dyDescent="0.25">
      <c r="A176">
        <v>2800061491</v>
      </c>
      <c r="B176">
        <v>271351</v>
      </c>
      <c r="C176" t="s">
        <v>11</v>
      </c>
      <c r="D176">
        <v>5.55</v>
      </c>
      <c r="F176" s="3">
        <v>44120</v>
      </c>
      <c r="G176" s="2" t="str">
        <f t="shared" si="6"/>
        <v>October</v>
      </c>
      <c r="H176" s="2" t="str">
        <f t="shared" si="7"/>
        <v>Week 3</v>
      </c>
      <c r="I176" s="2" t="str">
        <f t="shared" si="8"/>
        <v>Quarter 4</v>
      </c>
    </row>
    <row r="177" spans="1:9" x14ac:dyDescent="0.25">
      <c r="A177">
        <v>2800061492</v>
      </c>
      <c r="B177">
        <v>271351</v>
      </c>
      <c r="C177" t="s">
        <v>11</v>
      </c>
      <c r="D177">
        <v>5.55</v>
      </c>
      <c r="F177" s="3">
        <v>44120</v>
      </c>
      <c r="G177" s="2" t="str">
        <f t="shared" si="6"/>
        <v>October</v>
      </c>
      <c r="H177" s="2" t="str">
        <f t="shared" si="7"/>
        <v>Week 3</v>
      </c>
      <c r="I177" s="2" t="str">
        <f t="shared" si="8"/>
        <v>Quarter 4</v>
      </c>
    </row>
    <row r="178" spans="1:9" x14ac:dyDescent="0.25">
      <c r="A178">
        <v>2800061493</v>
      </c>
      <c r="B178">
        <v>271351</v>
      </c>
      <c r="C178" t="s">
        <v>11</v>
      </c>
      <c r="D178">
        <v>5.55</v>
      </c>
      <c r="F178" s="3">
        <v>44120</v>
      </c>
      <c r="G178" s="2" t="str">
        <f t="shared" si="6"/>
        <v>October</v>
      </c>
      <c r="H178" s="2" t="str">
        <f t="shared" si="7"/>
        <v>Week 3</v>
      </c>
      <c r="I178" s="2" t="str">
        <f t="shared" si="8"/>
        <v>Quarter 4</v>
      </c>
    </row>
    <row r="179" spans="1:9" x14ac:dyDescent="0.25">
      <c r="A179">
        <v>2800061495</v>
      </c>
      <c r="B179">
        <v>271351</v>
      </c>
      <c r="C179" t="s">
        <v>11</v>
      </c>
      <c r="D179">
        <v>5.55</v>
      </c>
      <c r="F179" s="3">
        <v>44120</v>
      </c>
      <c r="G179" s="2" t="str">
        <f t="shared" si="6"/>
        <v>October</v>
      </c>
      <c r="H179" s="2" t="str">
        <f t="shared" si="7"/>
        <v>Week 3</v>
      </c>
      <c r="I179" s="2" t="str">
        <f t="shared" si="8"/>
        <v>Quarter 4</v>
      </c>
    </row>
    <row r="180" spans="1:9" x14ac:dyDescent="0.25">
      <c r="A180">
        <v>2800061496</v>
      </c>
      <c r="B180">
        <v>271351</v>
      </c>
      <c r="C180" t="s">
        <v>11</v>
      </c>
      <c r="D180">
        <v>5.0999999999999996</v>
      </c>
      <c r="F180" s="3">
        <v>44120</v>
      </c>
      <c r="G180" s="2" t="str">
        <f t="shared" si="6"/>
        <v>October</v>
      </c>
      <c r="H180" s="2" t="str">
        <f t="shared" si="7"/>
        <v>Week 3</v>
      </c>
      <c r="I180" s="2" t="str">
        <f t="shared" si="8"/>
        <v>Quarter 4</v>
      </c>
    </row>
    <row r="181" spans="1:9" x14ac:dyDescent="0.25">
      <c r="A181">
        <v>2800061497</v>
      </c>
      <c r="B181">
        <v>271351</v>
      </c>
      <c r="C181" t="s">
        <v>11</v>
      </c>
      <c r="D181">
        <v>5.0999999999999996</v>
      </c>
      <c r="F181" s="3">
        <v>44120</v>
      </c>
      <c r="G181" s="2" t="str">
        <f t="shared" si="6"/>
        <v>October</v>
      </c>
      <c r="H181" s="2" t="str">
        <f t="shared" si="7"/>
        <v>Week 3</v>
      </c>
      <c r="I181" s="2" t="str">
        <f t="shared" si="8"/>
        <v>Quarter 4</v>
      </c>
    </row>
    <row r="182" spans="1:9" x14ac:dyDescent="0.25">
      <c r="A182">
        <v>2800061498</v>
      </c>
      <c r="B182">
        <v>271351</v>
      </c>
      <c r="C182" t="s">
        <v>11</v>
      </c>
      <c r="D182">
        <v>5.0999999999999996</v>
      </c>
      <c r="F182" s="3">
        <v>44120</v>
      </c>
      <c r="G182" s="2" t="str">
        <f t="shared" si="6"/>
        <v>October</v>
      </c>
      <c r="H182" s="2" t="str">
        <f t="shared" si="7"/>
        <v>Week 3</v>
      </c>
      <c r="I182" s="2" t="str">
        <f t="shared" si="8"/>
        <v>Quarter 4</v>
      </c>
    </row>
    <row r="183" spans="1:9" x14ac:dyDescent="0.25">
      <c r="A183">
        <v>2800061499</v>
      </c>
      <c r="B183">
        <v>271351</v>
      </c>
      <c r="C183" t="s">
        <v>11</v>
      </c>
      <c r="D183">
        <v>5.0999999999999996</v>
      </c>
      <c r="F183" s="3">
        <v>44120</v>
      </c>
      <c r="G183" s="2" t="str">
        <f t="shared" si="6"/>
        <v>October</v>
      </c>
      <c r="H183" s="2" t="str">
        <f t="shared" si="7"/>
        <v>Week 3</v>
      </c>
      <c r="I183" s="2" t="str">
        <f t="shared" si="8"/>
        <v>Quarter 4</v>
      </c>
    </row>
    <row r="184" spans="1:9" x14ac:dyDescent="0.25">
      <c r="A184">
        <v>2800061500</v>
      </c>
      <c r="B184">
        <v>271351</v>
      </c>
      <c r="C184" t="s">
        <v>11</v>
      </c>
      <c r="D184">
        <v>5.0999999999999996</v>
      </c>
      <c r="F184" s="3">
        <v>44120</v>
      </c>
      <c r="G184" s="2" t="str">
        <f t="shared" si="6"/>
        <v>October</v>
      </c>
      <c r="H184" s="2" t="str">
        <f t="shared" si="7"/>
        <v>Week 3</v>
      </c>
      <c r="I184" s="2" t="str">
        <f t="shared" si="8"/>
        <v>Quarter 4</v>
      </c>
    </row>
    <row r="185" spans="1:9" x14ac:dyDescent="0.25">
      <c r="A185">
        <v>2800061501</v>
      </c>
      <c r="B185">
        <v>271351</v>
      </c>
      <c r="C185" t="s">
        <v>11</v>
      </c>
      <c r="D185">
        <v>5.0999999999999996</v>
      </c>
      <c r="F185" s="3">
        <v>44120</v>
      </c>
      <c r="G185" s="2" t="str">
        <f t="shared" si="6"/>
        <v>October</v>
      </c>
      <c r="H185" s="2" t="str">
        <f t="shared" si="7"/>
        <v>Week 3</v>
      </c>
      <c r="I185" s="2" t="str">
        <f t="shared" si="8"/>
        <v>Quarter 4</v>
      </c>
    </row>
    <row r="186" spans="1:9" x14ac:dyDescent="0.25">
      <c r="A186">
        <v>2800061502</v>
      </c>
      <c r="B186">
        <v>271351</v>
      </c>
      <c r="C186" t="s">
        <v>11</v>
      </c>
      <c r="D186">
        <v>5.0999999999999996</v>
      </c>
      <c r="F186" s="3">
        <v>44120</v>
      </c>
      <c r="G186" s="2" t="str">
        <f t="shared" si="6"/>
        <v>October</v>
      </c>
      <c r="H186" s="2" t="str">
        <f t="shared" si="7"/>
        <v>Week 3</v>
      </c>
      <c r="I186" s="2" t="str">
        <f t="shared" si="8"/>
        <v>Quarter 4</v>
      </c>
    </row>
    <row r="187" spans="1:9" x14ac:dyDescent="0.25">
      <c r="A187">
        <v>2800061207</v>
      </c>
      <c r="B187">
        <v>273114</v>
      </c>
      <c r="C187" t="s">
        <v>11</v>
      </c>
      <c r="D187">
        <v>318.7</v>
      </c>
      <c r="F187" s="3">
        <v>44120</v>
      </c>
      <c r="G187" s="2" t="str">
        <f t="shared" si="6"/>
        <v>October</v>
      </c>
      <c r="H187" s="2" t="str">
        <f t="shared" si="7"/>
        <v>Week 3</v>
      </c>
      <c r="I187" s="2" t="str">
        <f t="shared" si="8"/>
        <v>Quarter 4</v>
      </c>
    </row>
    <row r="188" spans="1:9" x14ac:dyDescent="0.25">
      <c r="A188">
        <v>2800061210</v>
      </c>
      <c r="B188">
        <v>273114</v>
      </c>
      <c r="C188" t="s">
        <v>11</v>
      </c>
      <c r="D188">
        <v>136.69999999999999</v>
      </c>
      <c r="F188" s="3">
        <v>44120</v>
      </c>
      <c r="G188" s="2" t="str">
        <f t="shared" si="6"/>
        <v>October</v>
      </c>
      <c r="H188" s="2" t="str">
        <f t="shared" si="7"/>
        <v>Week 3</v>
      </c>
      <c r="I188" s="2" t="str">
        <f t="shared" si="8"/>
        <v>Quarter 4</v>
      </c>
    </row>
    <row r="189" spans="1:9" x14ac:dyDescent="0.25">
      <c r="A189">
        <v>2800061261</v>
      </c>
      <c r="B189">
        <v>273114</v>
      </c>
      <c r="C189" t="s">
        <v>13</v>
      </c>
      <c r="D189">
        <v>73.05</v>
      </c>
      <c r="E189" t="s">
        <v>14</v>
      </c>
      <c r="F189" s="3">
        <v>44120</v>
      </c>
      <c r="G189" s="2" t="str">
        <f t="shared" si="6"/>
        <v>October</v>
      </c>
      <c r="H189" s="2" t="str">
        <f t="shared" si="7"/>
        <v>Week 3</v>
      </c>
      <c r="I189" s="2" t="str">
        <f t="shared" si="8"/>
        <v>Quarter 4</v>
      </c>
    </row>
    <row r="190" spans="1:9" x14ac:dyDescent="0.25">
      <c r="A190">
        <v>2800061264</v>
      </c>
      <c r="B190">
        <v>273114</v>
      </c>
      <c r="C190" t="s">
        <v>13</v>
      </c>
      <c r="D190">
        <v>331.35</v>
      </c>
      <c r="E190" t="s">
        <v>14</v>
      </c>
      <c r="F190" s="3">
        <v>44120</v>
      </c>
      <c r="G190" s="2" t="str">
        <f t="shared" si="6"/>
        <v>October</v>
      </c>
      <c r="H190" s="2" t="str">
        <f t="shared" si="7"/>
        <v>Week 3</v>
      </c>
      <c r="I190" s="2" t="str">
        <f t="shared" si="8"/>
        <v>Quarter 4</v>
      </c>
    </row>
    <row r="191" spans="1:9" x14ac:dyDescent="0.25">
      <c r="A191">
        <v>2800061265</v>
      </c>
      <c r="B191">
        <v>273114</v>
      </c>
      <c r="C191" t="s">
        <v>13</v>
      </c>
      <c r="D191">
        <v>44.2</v>
      </c>
      <c r="E191" t="s">
        <v>14</v>
      </c>
      <c r="F191" s="3">
        <v>44120</v>
      </c>
      <c r="G191" s="2" t="str">
        <f t="shared" si="6"/>
        <v>October</v>
      </c>
      <c r="H191" s="2" t="str">
        <f t="shared" si="7"/>
        <v>Week 3</v>
      </c>
      <c r="I191" s="2" t="str">
        <f t="shared" si="8"/>
        <v>Quarter 4</v>
      </c>
    </row>
    <row r="192" spans="1:9" x14ac:dyDescent="0.25">
      <c r="A192">
        <v>2800061266</v>
      </c>
      <c r="B192">
        <v>273114</v>
      </c>
      <c r="C192" t="s">
        <v>13</v>
      </c>
      <c r="D192">
        <v>144.94999999999999</v>
      </c>
      <c r="E192" t="s">
        <v>14</v>
      </c>
      <c r="F192" s="3">
        <v>44120</v>
      </c>
      <c r="G192" s="2" t="str">
        <f t="shared" si="6"/>
        <v>October</v>
      </c>
      <c r="H192" s="2" t="str">
        <f t="shared" si="7"/>
        <v>Week 3</v>
      </c>
      <c r="I192" s="2" t="str">
        <f t="shared" si="8"/>
        <v>Quarter 4</v>
      </c>
    </row>
    <row r="193" spans="1:9" x14ac:dyDescent="0.25">
      <c r="A193">
        <v>2800061267</v>
      </c>
      <c r="B193">
        <v>273114</v>
      </c>
      <c r="C193" t="s">
        <v>13</v>
      </c>
      <c r="D193">
        <v>361.45</v>
      </c>
      <c r="E193" t="s">
        <v>14</v>
      </c>
      <c r="F193" s="3">
        <v>44120</v>
      </c>
      <c r="G193" s="2" t="str">
        <f t="shared" si="6"/>
        <v>October</v>
      </c>
      <c r="H193" s="2" t="str">
        <f t="shared" si="7"/>
        <v>Week 3</v>
      </c>
      <c r="I193" s="2" t="str">
        <f t="shared" si="8"/>
        <v>Quarter 4</v>
      </c>
    </row>
    <row r="194" spans="1:9" x14ac:dyDescent="0.25">
      <c r="A194">
        <v>2800061268</v>
      </c>
      <c r="B194">
        <v>273114</v>
      </c>
      <c r="C194" t="s">
        <v>13</v>
      </c>
      <c r="D194">
        <v>521.65</v>
      </c>
      <c r="E194" t="s">
        <v>14</v>
      </c>
      <c r="F194" s="3">
        <v>44120</v>
      </c>
      <c r="G194" s="2" t="str">
        <f t="shared" si="6"/>
        <v>October</v>
      </c>
      <c r="H194" s="2" t="str">
        <f t="shared" si="7"/>
        <v>Week 3</v>
      </c>
      <c r="I194" s="2" t="str">
        <f t="shared" si="8"/>
        <v>Quarter 4</v>
      </c>
    </row>
    <row r="195" spans="1:9" x14ac:dyDescent="0.25">
      <c r="A195">
        <v>2800061269</v>
      </c>
      <c r="B195">
        <v>273114</v>
      </c>
      <c r="C195" t="s">
        <v>13</v>
      </c>
      <c r="D195">
        <v>134.05000000000001</v>
      </c>
      <c r="E195" t="s">
        <v>14</v>
      </c>
      <c r="F195" s="3">
        <v>44120</v>
      </c>
      <c r="G195" s="2" t="str">
        <f t="shared" ref="G195:G258" si="9">TEXT(F195,"mmmm")</f>
        <v>October</v>
      </c>
      <c r="H195" s="2" t="str">
        <f t="shared" ref="H195:H258" si="10">"Week "&amp;((WEEKNUM(F195)-WEEKNUM(DATE(YEAR(F195),MONTH(F195),1))+1))</f>
        <v>Week 3</v>
      </c>
      <c r="I195" s="2" t="str">
        <f t="shared" ref="I195:I258" si="11">"Quarter " &amp; ROUNDUP((MONTH(F195))/3,0)</f>
        <v>Quarter 4</v>
      </c>
    </row>
    <row r="196" spans="1:9" x14ac:dyDescent="0.25">
      <c r="A196">
        <v>2800061278</v>
      </c>
      <c r="B196">
        <v>273114</v>
      </c>
      <c r="C196" t="s">
        <v>15</v>
      </c>
      <c r="D196">
        <v>151.9</v>
      </c>
      <c r="F196" s="3">
        <v>44120</v>
      </c>
      <c r="G196" s="2" t="str">
        <f t="shared" si="9"/>
        <v>October</v>
      </c>
      <c r="H196" s="2" t="str">
        <f t="shared" si="10"/>
        <v>Week 3</v>
      </c>
      <c r="I196" s="2" t="str">
        <f t="shared" si="11"/>
        <v>Quarter 4</v>
      </c>
    </row>
    <row r="197" spans="1:9" x14ac:dyDescent="0.25">
      <c r="A197">
        <v>2800061280</v>
      </c>
      <c r="B197">
        <v>273114</v>
      </c>
      <c r="C197" t="s">
        <v>13</v>
      </c>
      <c r="D197">
        <v>186.85</v>
      </c>
      <c r="E197" t="s">
        <v>14</v>
      </c>
      <c r="F197" s="3">
        <v>44120</v>
      </c>
      <c r="G197" s="2" t="str">
        <f t="shared" si="9"/>
        <v>October</v>
      </c>
      <c r="H197" s="2" t="str">
        <f t="shared" si="10"/>
        <v>Week 3</v>
      </c>
      <c r="I197" s="2" t="str">
        <f t="shared" si="11"/>
        <v>Quarter 4</v>
      </c>
    </row>
    <row r="198" spans="1:9" x14ac:dyDescent="0.25">
      <c r="A198">
        <v>2800061281</v>
      </c>
      <c r="B198">
        <v>273114</v>
      </c>
      <c r="C198" t="s">
        <v>13</v>
      </c>
      <c r="D198">
        <v>20.75</v>
      </c>
      <c r="E198" t="s">
        <v>14</v>
      </c>
      <c r="F198" s="3">
        <v>44120</v>
      </c>
      <c r="G198" s="2" t="str">
        <f t="shared" si="9"/>
        <v>October</v>
      </c>
      <c r="H198" s="2" t="str">
        <f t="shared" si="10"/>
        <v>Week 3</v>
      </c>
      <c r="I198" s="2" t="str">
        <f t="shared" si="11"/>
        <v>Quarter 4</v>
      </c>
    </row>
    <row r="199" spans="1:9" x14ac:dyDescent="0.25">
      <c r="A199">
        <v>2800061282</v>
      </c>
      <c r="B199">
        <v>273114</v>
      </c>
      <c r="C199" t="s">
        <v>13</v>
      </c>
      <c r="D199">
        <v>35.950000000000003</v>
      </c>
      <c r="E199" t="s">
        <v>14</v>
      </c>
      <c r="F199" s="3">
        <v>44120</v>
      </c>
      <c r="G199" s="2" t="str">
        <f t="shared" si="9"/>
        <v>October</v>
      </c>
      <c r="H199" s="2" t="str">
        <f t="shared" si="10"/>
        <v>Week 3</v>
      </c>
      <c r="I199" s="2" t="str">
        <f t="shared" si="11"/>
        <v>Quarter 4</v>
      </c>
    </row>
    <row r="200" spans="1:9" x14ac:dyDescent="0.25">
      <c r="A200">
        <v>2800061283</v>
      </c>
      <c r="B200">
        <v>273114</v>
      </c>
      <c r="C200" t="s">
        <v>13</v>
      </c>
      <c r="D200">
        <v>3960.25</v>
      </c>
      <c r="E200" t="s">
        <v>14</v>
      </c>
      <c r="F200" s="3">
        <v>44120</v>
      </c>
      <c r="G200" s="2" t="str">
        <f t="shared" si="9"/>
        <v>October</v>
      </c>
      <c r="H200" s="2" t="str">
        <f t="shared" si="10"/>
        <v>Week 3</v>
      </c>
      <c r="I200" s="2" t="str">
        <f t="shared" si="11"/>
        <v>Quarter 4</v>
      </c>
    </row>
    <row r="201" spans="1:9" x14ac:dyDescent="0.25">
      <c r="A201">
        <v>2800061284</v>
      </c>
      <c r="B201">
        <v>273114</v>
      </c>
      <c r="C201" t="s">
        <v>13</v>
      </c>
      <c r="D201">
        <v>7.8</v>
      </c>
      <c r="E201" t="s">
        <v>14</v>
      </c>
      <c r="F201" s="3">
        <v>44120</v>
      </c>
      <c r="G201" s="2" t="str">
        <f t="shared" si="9"/>
        <v>October</v>
      </c>
      <c r="H201" s="2" t="str">
        <f t="shared" si="10"/>
        <v>Week 3</v>
      </c>
      <c r="I201" s="2" t="str">
        <f t="shared" si="11"/>
        <v>Quarter 4</v>
      </c>
    </row>
    <row r="202" spans="1:9" x14ac:dyDescent="0.25">
      <c r="A202">
        <v>2800061287</v>
      </c>
      <c r="B202">
        <v>273114</v>
      </c>
      <c r="C202" t="s">
        <v>13</v>
      </c>
      <c r="D202">
        <v>2770.33</v>
      </c>
      <c r="E202" t="s">
        <v>14</v>
      </c>
      <c r="F202" s="3">
        <v>44120</v>
      </c>
      <c r="G202" s="2" t="str">
        <f t="shared" si="9"/>
        <v>October</v>
      </c>
      <c r="H202" s="2" t="str">
        <f t="shared" si="10"/>
        <v>Week 3</v>
      </c>
      <c r="I202" s="2" t="str">
        <f t="shared" si="11"/>
        <v>Quarter 4</v>
      </c>
    </row>
    <row r="203" spans="1:9" x14ac:dyDescent="0.25">
      <c r="A203">
        <v>2800061288</v>
      </c>
      <c r="B203">
        <v>273114</v>
      </c>
      <c r="C203" t="s">
        <v>13</v>
      </c>
      <c r="D203">
        <v>28.85</v>
      </c>
      <c r="E203" t="s">
        <v>14</v>
      </c>
      <c r="F203" s="3">
        <v>44120</v>
      </c>
      <c r="G203" s="2" t="str">
        <f t="shared" si="9"/>
        <v>October</v>
      </c>
      <c r="H203" s="2" t="str">
        <f t="shared" si="10"/>
        <v>Week 3</v>
      </c>
      <c r="I203" s="2" t="str">
        <f t="shared" si="11"/>
        <v>Quarter 4</v>
      </c>
    </row>
    <row r="204" spans="1:9" x14ac:dyDescent="0.25">
      <c r="A204">
        <v>2800061291</v>
      </c>
      <c r="B204">
        <v>273114</v>
      </c>
      <c r="C204" t="s">
        <v>13</v>
      </c>
      <c r="D204">
        <v>4402.7</v>
      </c>
      <c r="E204" t="s">
        <v>14</v>
      </c>
      <c r="F204" s="3">
        <v>44120</v>
      </c>
      <c r="G204" s="2" t="str">
        <f t="shared" si="9"/>
        <v>October</v>
      </c>
      <c r="H204" s="2" t="str">
        <f t="shared" si="10"/>
        <v>Week 3</v>
      </c>
      <c r="I204" s="2" t="str">
        <f t="shared" si="11"/>
        <v>Quarter 4</v>
      </c>
    </row>
    <row r="205" spans="1:9" x14ac:dyDescent="0.25">
      <c r="A205">
        <v>2800061294</v>
      </c>
      <c r="B205">
        <v>273114</v>
      </c>
      <c r="C205" t="s">
        <v>13</v>
      </c>
      <c r="D205">
        <v>526.45000000000005</v>
      </c>
      <c r="E205" t="s">
        <v>14</v>
      </c>
      <c r="F205" s="3">
        <v>44120</v>
      </c>
      <c r="G205" s="2" t="str">
        <f t="shared" si="9"/>
        <v>October</v>
      </c>
      <c r="H205" s="2" t="str">
        <f t="shared" si="10"/>
        <v>Week 3</v>
      </c>
      <c r="I205" s="2" t="str">
        <f t="shared" si="11"/>
        <v>Quarter 4</v>
      </c>
    </row>
    <row r="206" spans="1:9" x14ac:dyDescent="0.25">
      <c r="A206">
        <v>2800061296</v>
      </c>
      <c r="B206">
        <v>273114</v>
      </c>
      <c r="C206" t="s">
        <v>13</v>
      </c>
      <c r="D206">
        <v>7.8</v>
      </c>
      <c r="E206" t="s">
        <v>14</v>
      </c>
      <c r="F206" s="3">
        <v>44120</v>
      </c>
      <c r="G206" s="2" t="str">
        <f t="shared" si="9"/>
        <v>October</v>
      </c>
      <c r="H206" s="2" t="str">
        <f t="shared" si="10"/>
        <v>Week 3</v>
      </c>
      <c r="I206" s="2" t="str">
        <f t="shared" si="11"/>
        <v>Quarter 4</v>
      </c>
    </row>
    <row r="207" spans="1:9" x14ac:dyDescent="0.25">
      <c r="A207">
        <v>2800061302</v>
      </c>
      <c r="B207">
        <v>273114</v>
      </c>
      <c r="C207" t="s">
        <v>15</v>
      </c>
      <c r="D207">
        <v>173.85</v>
      </c>
      <c r="F207" s="3">
        <v>44120</v>
      </c>
      <c r="G207" s="2" t="str">
        <f t="shared" si="9"/>
        <v>October</v>
      </c>
      <c r="H207" s="2" t="str">
        <f t="shared" si="10"/>
        <v>Week 3</v>
      </c>
      <c r="I207" s="2" t="str">
        <f t="shared" si="11"/>
        <v>Quarter 4</v>
      </c>
    </row>
    <row r="208" spans="1:9" x14ac:dyDescent="0.25">
      <c r="A208">
        <v>2800061310</v>
      </c>
      <c r="B208">
        <v>273114</v>
      </c>
      <c r="C208" t="s">
        <v>13</v>
      </c>
      <c r="D208">
        <v>215.9</v>
      </c>
      <c r="E208" t="s">
        <v>14</v>
      </c>
      <c r="F208" s="3">
        <v>44120</v>
      </c>
      <c r="G208" s="2" t="str">
        <f t="shared" si="9"/>
        <v>October</v>
      </c>
      <c r="H208" s="2" t="str">
        <f t="shared" si="10"/>
        <v>Week 3</v>
      </c>
      <c r="I208" s="2" t="str">
        <f t="shared" si="11"/>
        <v>Quarter 4</v>
      </c>
    </row>
    <row r="209" spans="1:9" x14ac:dyDescent="0.25">
      <c r="A209">
        <v>2800061316</v>
      </c>
      <c r="B209">
        <v>273114</v>
      </c>
      <c r="C209" t="s">
        <v>13</v>
      </c>
      <c r="D209">
        <v>7.3</v>
      </c>
      <c r="E209" t="s">
        <v>14</v>
      </c>
      <c r="F209" s="3">
        <v>44120</v>
      </c>
      <c r="G209" s="2" t="str">
        <f t="shared" si="9"/>
        <v>October</v>
      </c>
      <c r="H209" s="2" t="str">
        <f t="shared" si="10"/>
        <v>Week 3</v>
      </c>
      <c r="I209" s="2" t="str">
        <f t="shared" si="11"/>
        <v>Quarter 4</v>
      </c>
    </row>
    <row r="210" spans="1:9" x14ac:dyDescent="0.25">
      <c r="A210">
        <v>2800061322</v>
      </c>
      <c r="B210">
        <v>273114</v>
      </c>
      <c r="C210" t="s">
        <v>13</v>
      </c>
      <c r="D210">
        <v>257.64999999999998</v>
      </c>
      <c r="E210" t="s">
        <v>14</v>
      </c>
      <c r="F210" s="3">
        <v>44120</v>
      </c>
      <c r="G210" s="2" t="str">
        <f t="shared" si="9"/>
        <v>October</v>
      </c>
      <c r="H210" s="2" t="str">
        <f t="shared" si="10"/>
        <v>Week 3</v>
      </c>
      <c r="I210" s="2" t="str">
        <f t="shared" si="11"/>
        <v>Quarter 4</v>
      </c>
    </row>
    <row r="211" spans="1:9" x14ac:dyDescent="0.25">
      <c r="A211">
        <v>2800061327</v>
      </c>
      <c r="B211">
        <v>273114</v>
      </c>
      <c r="C211" t="s">
        <v>13</v>
      </c>
      <c r="D211">
        <v>250.85</v>
      </c>
      <c r="E211" t="s">
        <v>14</v>
      </c>
      <c r="F211" s="3">
        <v>44120</v>
      </c>
      <c r="G211" s="2" t="str">
        <f t="shared" si="9"/>
        <v>October</v>
      </c>
      <c r="H211" s="2" t="str">
        <f t="shared" si="10"/>
        <v>Week 3</v>
      </c>
      <c r="I211" s="2" t="str">
        <f t="shared" si="11"/>
        <v>Quarter 4</v>
      </c>
    </row>
    <row r="212" spans="1:9" x14ac:dyDescent="0.25">
      <c r="A212">
        <v>2800061331</v>
      </c>
      <c r="B212">
        <v>273114</v>
      </c>
      <c r="C212" t="s">
        <v>13</v>
      </c>
      <c r="D212">
        <v>236.85</v>
      </c>
      <c r="E212" t="s">
        <v>14</v>
      </c>
      <c r="F212" s="3">
        <v>44120</v>
      </c>
      <c r="G212" s="2" t="str">
        <f t="shared" si="9"/>
        <v>October</v>
      </c>
      <c r="H212" s="2" t="str">
        <f t="shared" si="10"/>
        <v>Week 3</v>
      </c>
      <c r="I212" s="2" t="str">
        <f t="shared" si="11"/>
        <v>Quarter 4</v>
      </c>
    </row>
    <row r="213" spans="1:9" x14ac:dyDescent="0.25">
      <c r="A213">
        <v>2800061332</v>
      </c>
      <c r="B213">
        <v>273114</v>
      </c>
      <c r="C213" t="s">
        <v>13</v>
      </c>
      <c r="D213">
        <v>56.7</v>
      </c>
      <c r="E213" t="s">
        <v>14</v>
      </c>
      <c r="F213" s="3">
        <v>44120</v>
      </c>
      <c r="G213" s="2" t="str">
        <f t="shared" si="9"/>
        <v>October</v>
      </c>
      <c r="H213" s="2" t="str">
        <f t="shared" si="10"/>
        <v>Week 3</v>
      </c>
      <c r="I213" s="2" t="str">
        <f t="shared" si="11"/>
        <v>Quarter 4</v>
      </c>
    </row>
    <row r="214" spans="1:9" x14ac:dyDescent="0.25">
      <c r="A214">
        <v>2800061334</v>
      </c>
      <c r="B214">
        <v>273114</v>
      </c>
      <c r="C214" t="s">
        <v>13</v>
      </c>
      <c r="D214">
        <v>85.15</v>
      </c>
      <c r="E214" t="s">
        <v>14</v>
      </c>
      <c r="F214" s="3">
        <v>44120</v>
      </c>
      <c r="G214" s="2" t="str">
        <f t="shared" si="9"/>
        <v>October</v>
      </c>
      <c r="H214" s="2" t="str">
        <f t="shared" si="10"/>
        <v>Week 3</v>
      </c>
      <c r="I214" s="2" t="str">
        <f t="shared" si="11"/>
        <v>Quarter 4</v>
      </c>
    </row>
    <row r="215" spans="1:9" x14ac:dyDescent="0.25">
      <c r="A215">
        <v>2800061336</v>
      </c>
      <c r="B215">
        <v>273114</v>
      </c>
      <c r="C215" t="s">
        <v>13</v>
      </c>
      <c r="D215">
        <v>115.4</v>
      </c>
      <c r="E215" t="s">
        <v>14</v>
      </c>
      <c r="F215" s="3">
        <v>44120</v>
      </c>
      <c r="G215" s="2" t="str">
        <f t="shared" si="9"/>
        <v>October</v>
      </c>
      <c r="H215" s="2" t="str">
        <f t="shared" si="10"/>
        <v>Week 3</v>
      </c>
      <c r="I215" s="2" t="str">
        <f t="shared" si="11"/>
        <v>Quarter 4</v>
      </c>
    </row>
    <row r="216" spans="1:9" x14ac:dyDescent="0.25">
      <c r="A216">
        <v>2800061343</v>
      </c>
      <c r="B216">
        <v>273114</v>
      </c>
      <c r="C216" t="s">
        <v>13</v>
      </c>
      <c r="D216">
        <v>753.45</v>
      </c>
      <c r="E216" t="s">
        <v>14</v>
      </c>
      <c r="F216" s="3">
        <v>44120</v>
      </c>
      <c r="G216" s="2" t="str">
        <f t="shared" si="9"/>
        <v>October</v>
      </c>
      <c r="H216" s="2" t="str">
        <f t="shared" si="10"/>
        <v>Week 3</v>
      </c>
      <c r="I216" s="2" t="str">
        <f t="shared" si="11"/>
        <v>Quarter 4</v>
      </c>
    </row>
    <row r="217" spans="1:9" x14ac:dyDescent="0.25">
      <c r="A217">
        <v>2800061349</v>
      </c>
      <c r="B217">
        <v>273114</v>
      </c>
      <c r="C217" t="s">
        <v>13</v>
      </c>
      <c r="D217">
        <v>1424.35</v>
      </c>
      <c r="E217" t="s">
        <v>14</v>
      </c>
      <c r="F217" s="3">
        <v>44120</v>
      </c>
      <c r="G217" s="2" t="str">
        <f t="shared" si="9"/>
        <v>October</v>
      </c>
      <c r="H217" s="2" t="str">
        <f t="shared" si="10"/>
        <v>Week 3</v>
      </c>
      <c r="I217" s="2" t="str">
        <f t="shared" si="11"/>
        <v>Quarter 4</v>
      </c>
    </row>
    <row r="218" spans="1:9" x14ac:dyDescent="0.25">
      <c r="A218">
        <v>2800061357</v>
      </c>
      <c r="B218">
        <v>273114</v>
      </c>
      <c r="C218" t="s">
        <v>13</v>
      </c>
      <c r="D218">
        <v>38.75</v>
      </c>
      <c r="E218" t="s">
        <v>14</v>
      </c>
      <c r="F218" s="3">
        <v>44120</v>
      </c>
      <c r="G218" s="2" t="str">
        <f t="shared" si="9"/>
        <v>October</v>
      </c>
      <c r="H218" s="2" t="str">
        <f t="shared" si="10"/>
        <v>Week 3</v>
      </c>
      <c r="I218" s="2" t="str">
        <f t="shared" si="11"/>
        <v>Quarter 4</v>
      </c>
    </row>
    <row r="219" spans="1:9" x14ac:dyDescent="0.25">
      <c r="A219">
        <v>2800061365</v>
      </c>
      <c r="B219">
        <v>273114</v>
      </c>
      <c r="C219" t="s">
        <v>13</v>
      </c>
      <c r="D219">
        <v>46.3</v>
      </c>
      <c r="E219" t="s">
        <v>14</v>
      </c>
      <c r="F219" s="3">
        <v>44120</v>
      </c>
      <c r="G219" s="2" t="str">
        <f t="shared" si="9"/>
        <v>October</v>
      </c>
      <c r="H219" s="2" t="str">
        <f t="shared" si="10"/>
        <v>Week 3</v>
      </c>
      <c r="I219" s="2" t="str">
        <f t="shared" si="11"/>
        <v>Quarter 4</v>
      </c>
    </row>
    <row r="220" spans="1:9" x14ac:dyDescent="0.25">
      <c r="A220">
        <v>2800061371</v>
      </c>
      <c r="B220">
        <v>273114</v>
      </c>
      <c r="C220" t="s">
        <v>13</v>
      </c>
      <c r="D220">
        <v>52.85</v>
      </c>
      <c r="E220" t="s">
        <v>14</v>
      </c>
      <c r="F220" s="3">
        <v>44120</v>
      </c>
      <c r="G220" s="2" t="str">
        <f t="shared" si="9"/>
        <v>October</v>
      </c>
      <c r="H220" s="2" t="str">
        <f t="shared" si="10"/>
        <v>Week 3</v>
      </c>
      <c r="I220" s="2" t="str">
        <f t="shared" si="11"/>
        <v>Quarter 4</v>
      </c>
    </row>
    <row r="221" spans="1:9" x14ac:dyDescent="0.25">
      <c r="A221">
        <v>2800061374</v>
      </c>
      <c r="B221">
        <v>273114</v>
      </c>
      <c r="C221" t="s">
        <v>13</v>
      </c>
      <c r="D221">
        <v>7.8</v>
      </c>
      <c r="E221" t="s">
        <v>14</v>
      </c>
      <c r="F221" s="3">
        <v>44120</v>
      </c>
      <c r="G221" s="2" t="str">
        <f t="shared" si="9"/>
        <v>October</v>
      </c>
      <c r="H221" s="2" t="str">
        <f t="shared" si="10"/>
        <v>Week 3</v>
      </c>
      <c r="I221" s="2" t="str">
        <f t="shared" si="11"/>
        <v>Quarter 4</v>
      </c>
    </row>
    <row r="222" spans="1:9" x14ac:dyDescent="0.25">
      <c r="A222">
        <v>2800061376</v>
      </c>
      <c r="B222">
        <v>273114</v>
      </c>
      <c r="C222" t="s">
        <v>13</v>
      </c>
      <c r="D222">
        <v>24.45</v>
      </c>
      <c r="E222" t="s">
        <v>14</v>
      </c>
      <c r="F222" s="3">
        <v>44120</v>
      </c>
      <c r="G222" s="2" t="str">
        <f t="shared" si="9"/>
        <v>October</v>
      </c>
      <c r="H222" s="2" t="str">
        <f t="shared" si="10"/>
        <v>Week 3</v>
      </c>
      <c r="I222" s="2" t="str">
        <f t="shared" si="11"/>
        <v>Quarter 4</v>
      </c>
    </row>
    <row r="223" spans="1:9" x14ac:dyDescent="0.25">
      <c r="A223">
        <v>2800061384</v>
      </c>
      <c r="B223">
        <v>273114</v>
      </c>
      <c r="C223" t="s">
        <v>13</v>
      </c>
      <c r="D223">
        <v>81.3</v>
      </c>
      <c r="E223" t="s">
        <v>14</v>
      </c>
      <c r="F223" s="3">
        <v>44120</v>
      </c>
      <c r="G223" s="2" t="str">
        <f t="shared" si="9"/>
        <v>October</v>
      </c>
      <c r="H223" s="2" t="str">
        <f t="shared" si="10"/>
        <v>Week 3</v>
      </c>
      <c r="I223" s="2" t="str">
        <f t="shared" si="11"/>
        <v>Quarter 4</v>
      </c>
    </row>
    <row r="224" spans="1:9" x14ac:dyDescent="0.25">
      <c r="A224">
        <v>2800061437</v>
      </c>
      <c r="B224">
        <v>273114</v>
      </c>
      <c r="C224" t="s">
        <v>16</v>
      </c>
      <c r="D224">
        <v>2946.8</v>
      </c>
      <c r="F224" s="3">
        <v>44120</v>
      </c>
      <c r="G224" s="2" t="str">
        <f t="shared" si="9"/>
        <v>October</v>
      </c>
      <c r="H224" s="2" t="str">
        <f t="shared" si="10"/>
        <v>Week 3</v>
      </c>
      <c r="I224" s="2" t="str">
        <f t="shared" si="11"/>
        <v>Quarter 4</v>
      </c>
    </row>
    <row r="225" spans="1:9" x14ac:dyDescent="0.25">
      <c r="A225">
        <v>2800061442</v>
      </c>
      <c r="B225">
        <v>273114</v>
      </c>
      <c r="C225" t="s">
        <v>16</v>
      </c>
      <c r="D225">
        <v>21.75</v>
      </c>
      <c r="F225" s="3">
        <v>44120</v>
      </c>
      <c r="G225" s="2" t="str">
        <f t="shared" si="9"/>
        <v>October</v>
      </c>
      <c r="H225" s="2" t="str">
        <f t="shared" si="10"/>
        <v>Week 3</v>
      </c>
      <c r="I225" s="2" t="str">
        <f t="shared" si="11"/>
        <v>Quarter 4</v>
      </c>
    </row>
    <row r="226" spans="1:9" x14ac:dyDescent="0.25">
      <c r="A226">
        <v>2800061443</v>
      </c>
      <c r="B226">
        <v>273114</v>
      </c>
      <c r="C226" t="s">
        <v>17</v>
      </c>
      <c r="D226">
        <v>484.95</v>
      </c>
      <c r="F226" s="3">
        <v>44120</v>
      </c>
      <c r="G226" s="2" t="str">
        <f t="shared" si="9"/>
        <v>October</v>
      </c>
      <c r="H226" s="2" t="str">
        <f t="shared" si="10"/>
        <v>Week 3</v>
      </c>
      <c r="I226" s="2" t="str">
        <f t="shared" si="11"/>
        <v>Quarter 4</v>
      </c>
    </row>
    <row r="227" spans="1:9" x14ac:dyDescent="0.25">
      <c r="A227">
        <v>2800061494</v>
      </c>
      <c r="B227">
        <v>273114</v>
      </c>
      <c r="C227" t="s">
        <v>15</v>
      </c>
      <c r="D227">
        <v>100.5</v>
      </c>
      <c r="F227" s="3">
        <v>44120</v>
      </c>
      <c r="G227" s="2" t="str">
        <f t="shared" si="9"/>
        <v>October</v>
      </c>
      <c r="H227" s="2" t="str">
        <f t="shared" si="10"/>
        <v>Week 3</v>
      </c>
      <c r="I227" s="2" t="str">
        <f t="shared" si="11"/>
        <v>Quarter 4</v>
      </c>
    </row>
    <row r="228" spans="1:9" x14ac:dyDescent="0.25">
      <c r="A228">
        <v>2800061520</v>
      </c>
      <c r="B228">
        <v>273114</v>
      </c>
      <c r="C228" t="s">
        <v>15</v>
      </c>
      <c r="D228">
        <v>33.1</v>
      </c>
      <c r="F228" s="3">
        <v>44120</v>
      </c>
      <c r="G228" s="2" t="str">
        <f t="shared" si="9"/>
        <v>October</v>
      </c>
      <c r="H228" s="2" t="str">
        <f t="shared" si="10"/>
        <v>Week 3</v>
      </c>
      <c r="I228" s="2" t="str">
        <f t="shared" si="11"/>
        <v>Quarter 4</v>
      </c>
    </row>
    <row r="229" spans="1:9" x14ac:dyDescent="0.25">
      <c r="A229">
        <v>2800061551</v>
      </c>
      <c r="B229">
        <v>273114</v>
      </c>
      <c r="C229" t="s">
        <v>18</v>
      </c>
      <c r="D229">
        <v>12.65</v>
      </c>
      <c r="E229" t="s">
        <v>19</v>
      </c>
      <c r="F229" s="3">
        <v>44120</v>
      </c>
      <c r="G229" s="2" t="str">
        <f t="shared" si="9"/>
        <v>October</v>
      </c>
      <c r="H229" s="2" t="str">
        <f t="shared" si="10"/>
        <v>Week 3</v>
      </c>
      <c r="I229" s="2" t="str">
        <f t="shared" si="11"/>
        <v>Quarter 4</v>
      </c>
    </row>
    <row r="230" spans="1:9" x14ac:dyDescent="0.25">
      <c r="A230">
        <v>2800061419</v>
      </c>
      <c r="B230">
        <v>273115</v>
      </c>
      <c r="C230" t="s">
        <v>13</v>
      </c>
      <c r="D230">
        <v>54.7</v>
      </c>
      <c r="E230" t="s">
        <v>14</v>
      </c>
      <c r="F230" s="3">
        <v>44120</v>
      </c>
      <c r="G230" s="2" t="str">
        <f t="shared" si="9"/>
        <v>October</v>
      </c>
      <c r="H230" s="2" t="str">
        <f t="shared" si="10"/>
        <v>Week 3</v>
      </c>
      <c r="I230" s="2" t="str">
        <f t="shared" si="11"/>
        <v>Quarter 4</v>
      </c>
    </row>
    <row r="231" spans="1:9" x14ac:dyDescent="0.25">
      <c r="A231">
        <v>2800061431</v>
      </c>
      <c r="B231">
        <v>273115</v>
      </c>
      <c r="C231" t="s">
        <v>16</v>
      </c>
      <c r="D231">
        <v>6032.4</v>
      </c>
      <c r="F231" s="3">
        <v>44120</v>
      </c>
      <c r="G231" s="2" t="str">
        <f t="shared" si="9"/>
        <v>October</v>
      </c>
      <c r="H231" s="2" t="str">
        <f t="shared" si="10"/>
        <v>Week 3</v>
      </c>
      <c r="I231" s="2" t="str">
        <f t="shared" si="11"/>
        <v>Quarter 4</v>
      </c>
    </row>
    <row r="232" spans="1:9" x14ac:dyDescent="0.25">
      <c r="A232">
        <v>2800061423</v>
      </c>
      <c r="B232">
        <v>273116</v>
      </c>
      <c r="C232" t="s">
        <v>13</v>
      </c>
      <c r="D232">
        <v>7.7</v>
      </c>
      <c r="E232" t="s">
        <v>14</v>
      </c>
      <c r="F232" s="3">
        <v>44120</v>
      </c>
      <c r="G232" s="2" t="str">
        <f t="shared" si="9"/>
        <v>October</v>
      </c>
      <c r="H232" s="2" t="str">
        <f t="shared" si="10"/>
        <v>Week 3</v>
      </c>
      <c r="I232" s="2" t="str">
        <f t="shared" si="11"/>
        <v>Quarter 4</v>
      </c>
    </row>
    <row r="233" spans="1:9" x14ac:dyDescent="0.25">
      <c r="A233">
        <v>2800061424</v>
      </c>
      <c r="B233">
        <v>273116</v>
      </c>
      <c r="C233" t="s">
        <v>13</v>
      </c>
      <c r="D233">
        <v>25.25</v>
      </c>
      <c r="E233" t="s">
        <v>14</v>
      </c>
      <c r="F233" s="3">
        <v>44120</v>
      </c>
      <c r="G233" s="2" t="str">
        <f t="shared" si="9"/>
        <v>October</v>
      </c>
      <c r="H233" s="2" t="str">
        <f t="shared" si="10"/>
        <v>Week 3</v>
      </c>
      <c r="I233" s="2" t="str">
        <f t="shared" si="11"/>
        <v>Quarter 4</v>
      </c>
    </row>
    <row r="234" spans="1:9" x14ac:dyDescent="0.25">
      <c r="A234">
        <v>2800061426</v>
      </c>
      <c r="B234">
        <v>273116</v>
      </c>
      <c r="C234" t="s">
        <v>13</v>
      </c>
      <c r="D234">
        <v>293.64999999999998</v>
      </c>
      <c r="E234" t="s">
        <v>14</v>
      </c>
      <c r="F234" s="3">
        <v>44120</v>
      </c>
      <c r="G234" s="2" t="str">
        <f t="shared" si="9"/>
        <v>October</v>
      </c>
      <c r="H234" s="2" t="str">
        <f t="shared" si="10"/>
        <v>Week 3</v>
      </c>
      <c r="I234" s="2" t="str">
        <f t="shared" si="11"/>
        <v>Quarter 4</v>
      </c>
    </row>
    <row r="235" spans="1:9" x14ac:dyDescent="0.25">
      <c r="A235">
        <v>2800061414</v>
      </c>
      <c r="B235">
        <v>271151</v>
      </c>
      <c r="C235" t="s">
        <v>16</v>
      </c>
      <c r="D235">
        <v>23.85</v>
      </c>
      <c r="F235" s="3">
        <v>44120</v>
      </c>
      <c r="G235" s="2" t="str">
        <f t="shared" si="9"/>
        <v>October</v>
      </c>
      <c r="H235" s="2" t="str">
        <f t="shared" si="10"/>
        <v>Week 3</v>
      </c>
      <c r="I235" s="2" t="str">
        <f t="shared" si="11"/>
        <v>Quarter 4</v>
      </c>
    </row>
    <row r="236" spans="1:9" x14ac:dyDescent="0.25">
      <c r="A236">
        <v>2800061464</v>
      </c>
      <c r="B236">
        <v>271151</v>
      </c>
      <c r="C236" t="s">
        <v>16</v>
      </c>
      <c r="D236">
        <v>2400</v>
      </c>
      <c r="F236" s="3">
        <v>44120</v>
      </c>
      <c r="G236" s="2" t="str">
        <f t="shared" si="9"/>
        <v>October</v>
      </c>
      <c r="H236" s="2" t="str">
        <f t="shared" si="10"/>
        <v>Week 3</v>
      </c>
      <c r="I236" s="2" t="str">
        <f t="shared" si="11"/>
        <v>Quarter 4</v>
      </c>
    </row>
    <row r="237" spans="1:9" x14ac:dyDescent="0.25">
      <c r="A237">
        <v>2800061271</v>
      </c>
      <c r="B237">
        <v>271351</v>
      </c>
      <c r="C237" t="s">
        <v>9</v>
      </c>
      <c r="D237">
        <v>3600</v>
      </c>
      <c r="E237" t="s">
        <v>12</v>
      </c>
      <c r="F237" s="3">
        <v>44120</v>
      </c>
      <c r="G237" s="2" t="str">
        <f t="shared" si="9"/>
        <v>October</v>
      </c>
      <c r="H237" s="2" t="str">
        <f t="shared" si="10"/>
        <v>Week 3</v>
      </c>
      <c r="I237" s="2" t="str">
        <f t="shared" si="11"/>
        <v>Quarter 4</v>
      </c>
    </row>
    <row r="238" spans="1:9" x14ac:dyDescent="0.25">
      <c r="A238">
        <v>2800061273</v>
      </c>
      <c r="B238">
        <v>271351</v>
      </c>
      <c r="C238" t="s">
        <v>9</v>
      </c>
      <c r="D238">
        <v>950</v>
      </c>
      <c r="E238" t="s">
        <v>12</v>
      </c>
      <c r="F238" s="3">
        <v>44120</v>
      </c>
      <c r="G238" s="2" t="str">
        <f t="shared" si="9"/>
        <v>October</v>
      </c>
      <c r="H238" s="2" t="str">
        <f t="shared" si="10"/>
        <v>Week 3</v>
      </c>
      <c r="I238" s="2" t="str">
        <f t="shared" si="11"/>
        <v>Quarter 4</v>
      </c>
    </row>
    <row r="239" spans="1:9" x14ac:dyDescent="0.25">
      <c r="A239">
        <v>2800061309</v>
      </c>
      <c r="B239">
        <v>271351</v>
      </c>
      <c r="C239" t="s">
        <v>9</v>
      </c>
      <c r="D239">
        <v>5000</v>
      </c>
      <c r="E239" t="s">
        <v>20</v>
      </c>
      <c r="F239" s="3">
        <v>44120</v>
      </c>
      <c r="G239" s="2" t="str">
        <f t="shared" si="9"/>
        <v>October</v>
      </c>
      <c r="H239" s="2" t="str">
        <f t="shared" si="10"/>
        <v>Week 3</v>
      </c>
      <c r="I239" s="2" t="str">
        <f t="shared" si="11"/>
        <v>Quarter 4</v>
      </c>
    </row>
    <row r="240" spans="1:9" x14ac:dyDescent="0.25">
      <c r="A240">
        <v>2800061422</v>
      </c>
      <c r="B240">
        <v>271351</v>
      </c>
      <c r="C240" t="s">
        <v>16</v>
      </c>
      <c r="D240">
        <v>28.9</v>
      </c>
      <c r="F240" s="3">
        <v>44120</v>
      </c>
      <c r="G240" s="2" t="str">
        <f t="shared" si="9"/>
        <v>October</v>
      </c>
      <c r="H240" s="2" t="str">
        <f t="shared" si="10"/>
        <v>Week 3</v>
      </c>
      <c r="I240" s="2" t="str">
        <f t="shared" si="11"/>
        <v>Quarter 4</v>
      </c>
    </row>
    <row r="241" spans="1:9" x14ac:dyDescent="0.25">
      <c r="A241">
        <v>2800061433</v>
      </c>
      <c r="B241">
        <v>271351</v>
      </c>
      <c r="C241" t="s">
        <v>16</v>
      </c>
      <c r="D241">
        <v>30.7</v>
      </c>
      <c r="F241" s="3">
        <v>44120</v>
      </c>
      <c r="G241" s="2" t="str">
        <f t="shared" si="9"/>
        <v>October</v>
      </c>
      <c r="H241" s="2" t="str">
        <f t="shared" si="10"/>
        <v>Week 3</v>
      </c>
      <c r="I241" s="2" t="str">
        <f t="shared" si="11"/>
        <v>Quarter 4</v>
      </c>
    </row>
    <row r="242" spans="1:9" x14ac:dyDescent="0.25">
      <c r="A242">
        <v>2800061438</v>
      </c>
      <c r="B242">
        <v>271351</v>
      </c>
      <c r="C242" t="s">
        <v>16</v>
      </c>
      <c r="D242">
        <v>35.85</v>
      </c>
      <c r="F242" s="3">
        <v>44120</v>
      </c>
      <c r="G242" s="2" t="str">
        <f t="shared" si="9"/>
        <v>October</v>
      </c>
      <c r="H242" s="2" t="str">
        <f t="shared" si="10"/>
        <v>Week 3</v>
      </c>
      <c r="I242" s="2" t="str">
        <f t="shared" si="11"/>
        <v>Quarter 4</v>
      </c>
    </row>
    <row r="243" spans="1:9" x14ac:dyDescent="0.25">
      <c r="A243">
        <v>2800061441</v>
      </c>
      <c r="B243">
        <v>271351</v>
      </c>
      <c r="C243" t="s">
        <v>16</v>
      </c>
      <c r="D243">
        <v>173.85</v>
      </c>
      <c r="F243" s="3">
        <v>44120</v>
      </c>
      <c r="G243" s="2" t="str">
        <f t="shared" si="9"/>
        <v>October</v>
      </c>
      <c r="H243" s="2" t="str">
        <f t="shared" si="10"/>
        <v>Week 3</v>
      </c>
      <c r="I243" s="2" t="str">
        <f t="shared" si="11"/>
        <v>Quarter 4</v>
      </c>
    </row>
    <row r="244" spans="1:9" x14ac:dyDescent="0.25">
      <c r="A244">
        <v>2800061214</v>
      </c>
      <c r="B244">
        <v>273114</v>
      </c>
      <c r="C244" t="s">
        <v>15</v>
      </c>
      <c r="D244">
        <v>99</v>
      </c>
      <c r="F244" s="3">
        <v>44120</v>
      </c>
      <c r="G244" s="2" t="str">
        <f t="shared" si="9"/>
        <v>October</v>
      </c>
      <c r="H244" s="2" t="str">
        <f t="shared" si="10"/>
        <v>Week 3</v>
      </c>
      <c r="I244" s="2" t="str">
        <f t="shared" si="11"/>
        <v>Quarter 4</v>
      </c>
    </row>
    <row r="245" spans="1:9" x14ac:dyDescent="0.25">
      <c r="A245">
        <v>2800061216</v>
      </c>
      <c r="B245">
        <v>273114</v>
      </c>
      <c r="C245" t="s">
        <v>15</v>
      </c>
      <c r="D245">
        <v>324.5</v>
      </c>
      <c r="F245" s="3">
        <v>44120</v>
      </c>
      <c r="G245" s="2" t="str">
        <f t="shared" si="9"/>
        <v>October</v>
      </c>
      <c r="H245" s="2" t="str">
        <f t="shared" si="10"/>
        <v>Week 3</v>
      </c>
      <c r="I245" s="2" t="str">
        <f t="shared" si="11"/>
        <v>Quarter 4</v>
      </c>
    </row>
    <row r="246" spans="1:9" x14ac:dyDescent="0.25">
      <c r="A246">
        <v>2800061217</v>
      </c>
      <c r="B246">
        <v>273114</v>
      </c>
      <c r="C246" t="s">
        <v>15</v>
      </c>
      <c r="D246">
        <v>672.85</v>
      </c>
      <c r="F246" s="3">
        <v>44120</v>
      </c>
      <c r="G246" s="2" t="str">
        <f t="shared" si="9"/>
        <v>October</v>
      </c>
      <c r="H246" s="2" t="str">
        <f t="shared" si="10"/>
        <v>Week 3</v>
      </c>
      <c r="I246" s="2" t="str">
        <f t="shared" si="11"/>
        <v>Quarter 4</v>
      </c>
    </row>
    <row r="247" spans="1:9" x14ac:dyDescent="0.25">
      <c r="A247">
        <v>2800061219</v>
      </c>
      <c r="B247">
        <v>273114</v>
      </c>
      <c r="C247" t="s">
        <v>15</v>
      </c>
      <c r="D247">
        <v>125.1</v>
      </c>
      <c r="F247" s="3">
        <v>44120</v>
      </c>
      <c r="G247" s="2" t="str">
        <f t="shared" si="9"/>
        <v>October</v>
      </c>
      <c r="H247" s="2" t="str">
        <f t="shared" si="10"/>
        <v>Week 3</v>
      </c>
      <c r="I247" s="2" t="str">
        <f t="shared" si="11"/>
        <v>Quarter 4</v>
      </c>
    </row>
    <row r="248" spans="1:9" x14ac:dyDescent="0.25">
      <c r="A248">
        <v>2800061228</v>
      </c>
      <c r="B248">
        <v>273114</v>
      </c>
      <c r="C248" t="s">
        <v>15</v>
      </c>
      <c r="D248">
        <v>1609.13</v>
      </c>
      <c r="F248" s="3">
        <v>44120</v>
      </c>
      <c r="G248" s="2" t="str">
        <f t="shared" si="9"/>
        <v>October</v>
      </c>
      <c r="H248" s="2" t="str">
        <f t="shared" si="10"/>
        <v>Week 3</v>
      </c>
      <c r="I248" s="2" t="str">
        <f t="shared" si="11"/>
        <v>Quarter 4</v>
      </c>
    </row>
    <row r="249" spans="1:9" x14ac:dyDescent="0.25">
      <c r="A249">
        <v>2800061233</v>
      </c>
      <c r="B249">
        <v>273114</v>
      </c>
      <c r="C249" t="s">
        <v>15</v>
      </c>
      <c r="D249">
        <v>274</v>
      </c>
      <c r="F249" s="3">
        <v>44120</v>
      </c>
      <c r="G249" s="2" t="str">
        <f t="shared" si="9"/>
        <v>October</v>
      </c>
      <c r="H249" s="2" t="str">
        <f t="shared" si="10"/>
        <v>Week 3</v>
      </c>
      <c r="I249" s="2" t="str">
        <f t="shared" si="11"/>
        <v>Quarter 4</v>
      </c>
    </row>
    <row r="250" spans="1:9" x14ac:dyDescent="0.25">
      <c r="A250">
        <v>2800061249</v>
      </c>
      <c r="B250">
        <v>273114</v>
      </c>
      <c r="C250" t="s">
        <v>15</v>
      </c>
      <c r="D250">
        <v>60.65</v>
      </c>
      <c r="F250" s="3">
        <v>44120</v>
      </c>
      <c r="G250" s="2" t="str">
        <f t="shared" si="9"/>
        <v>October</v>
      </c>
      <c r="H250" s="2" t="str">
        <f t="shared" si="10"/>
        <v>Week 3</v>
      </c>
      <c r="I250" s="2" t="str">
        <f t="shared" si="11"/>
        <v>Quarter 4</v>
      </c>
    </row>
    <row r="251" spans="1:9" x14ac:dyDescent="0.25">
      <c r="A251">
        <v>2800061260</v>
      </c>
      <c r="B251">
        <v>273114</v>
      </c>
      <c r="C251" t="s">
        <v>15</v>
      </c>
      <c r="D251">
        <v>140.6</v>
      </c>
      <c r="F251" s="3">
        <v>44120</v>
      </c>
      <c r="G251" s="2" t="str">
        <f t="shared" si="9"/>
        <v>October</v>
      </c>
      <c r="H251" s="2" t="str">
        <f t="shared" si="10"/>
        <v>Week 3</v>
      </c>
      <c r="I251" s="2" t="str">
        <f t="shared" si="11"/>
        <v>Quarter 4</v>
      </c>
    </row>
    <row r="252" spans="1:9" x14ac:dyDescent="0.25">
      <c r="A252">
        <v>2800061262</v>
      </c>
      <c r="B252">
        <v>273114</v>
      </c>
      <c r="C252" t="s">
        <v>15</v>
      </c>
      <c r="D252">
        <v>78.75</v>
      </c>
      <c r="F252" s="3">
        <v>44120</v>
      </c>
      <c r="G252" s="2" t="str">
        <f t="shared" si="9"/>
        <v>October</v>
      </c>
      <c r="H252" s="2" t="str">
        <f t="shared" si="10"/>
        <v>Week 3</v>
      </c>
      <c r="I252" s="2" t="str">
        <f t="shared" si="11"/>
        <v>Quarter 4</v>
      </c>
    </row>
    <row r="253" spans="1:9" x14ac:dyDescent="0.25">
      <c r="A253">
        <v>2800061277</v>
      </c>
      <c r="B253">
        <v>273114</v>
      </c>
      <c r="C253" t="s">
        <v>16</v>
      </c>
      <c r="D253">
        <v>133.19999999999999</v>
      </c>
      <c r="F253" s="3">
        <v>44120</v>
      </c>
      <c r="G253" s="2" t="str">
        <f t="shared" si="9"/>
        <v>October</v>
      </c>
      <c r="H253" s="2" t="str">
        <f t="shared" si="10"/>
        <v>Week 3</v>
      </c>
      <c r="I253" s="2" t="str">
        <f t="shared" si="11"/>
        <v>Quarter 4</v>
      </c>
    </row>
    <row r="254" spans="1:9" x14ac:dyDescent="0.25">
      <c r="A254">
        <v>2800061279</v>
      </c>
      <c r="B254">
        <v>273114</v>
      </c>
      <c r="C254" t="s">
        <v>16</v>
      </c>
      <c r="D254">
        <v>163.19</v>
      </c>
      <c r="F254" s="3">
        <v>44120</v>
      </c>
      <c r="G254" s="2" t="str">
        <f t="shared" si="9"/>
        <v>October</v>
      </c>
      <c r="H254" s="2" t="str">
        <f t="shared" si="10"/>
        <v>Week 3</v>
      </c>
      <c r="I254" s="2" t="str">
        <f t="shared" si="11"/>
        <v>Quarter 4</v>
      </c>
    </row>
    <row r="255" spans="1:9" x14ac:dyDescent="0.25">
      <c r="A255">
        <v>2800061319</v>
      </c>
      <c r="B255">
        <v>273114</v>
      </c>
      <c r="C255" t="s">
        <v>15</v>
      </c>
      <c r="D255">
        <v>7.55</v>
      </c>
      <c r="F255" s="3">
        <v>44120</v>
      </c>
      <c r="G255" s="2" t="str">
        <f t="shared" si="9"/>
        <v>October</v>
      </c>
      <c r="H255" s="2" t="str">
        <f t="shared" si="10"/>
        <v>Week 3</v>
      </c>
      <c r="I255" s="2" t="str">
        <f t="shared" si="11"/>
        <v>Quarter 4</v>
      </c>
    </row>
    <row r="256" spans="1:9" x14ac:dyDescent="0.25">
      <c r="A256">
        <v>2800061398</v>
      </c>
      <c r="B256">
        <v>273114</v>
      </c>
      <c r="C256" t="s">
        <v>16</v>
      </c>
      <c r="D256">
        <v>4665.22</v>
      </c>
      <c r="F256" s="3">
        <v>44120</v>
      </c>
      <c r="G256" s="2" t="str">
        <f t="shared" si="9"/>
        <v>October</v>
      </c>
      <c r="H256" s="2" t="str">
        <f t="shared" si="10"/>
        <v>Week 3</v>
      </c>
      <c r="I256" s="2" t="str">
        <f t="shared" si="11"/>
        <v>Quarter 4</v>
      </c>
    </row>
    <row r="257" spans="1:9" x14ac:dyDescent="0.25">
      <c r="A257">
        <v>2800061400</v>
      </c>
      <c r="B257">
        <v>273114</v>
      </c>
      <c r="C257" t="s">
        <v>13</v>
      </c>
      <c r="D257">
        <v>116.5</v>
      </c>
      <c r="E257" t="s">
        <v>14</v>
      </c>
      <c r="F257" s="3">
        <v>44120</v>
      </c>
      <c r="G257" s="2" t="str">
        <f t="shared" si="9"/>
        <v>October</v>
      </c>
      <c r="H257" s="2" t="str">
        <f t="shared" si="10"/>
        <v>Week 3</v>
      </c>
      <c r="I257" s="2" t="str">
        <f t="shared" si="11"/>
        <v>Quarter 4</v>
      </c>
    </row>
    <row r="258" spans="1:9" x14ac:dyDescent="0.25">
      <c r="A258">
        <v>2800061401</v>
      </c>
      <c r="B258">
        <v>273114</v>
      </c>
      <c r="C258" t="s">
        <v>13</v>
      </c>
      <c r="D258">
        <v>283.7</v>
      </c>
      <c r="E258" t="s">
        <v>14</v>
      </c>
      <c r="F258" s="3">
        <v>44120</v>
      </c>
      <c r="G258" s="2" t="str">
        <f t="shared" si="9"/>
        <v>October</v>
      </c>
      <c r="H258" s="2" t="str">
        <f t="shared" si="10"/>
        <v>Week 3</v>
      </c>
      <c r="I258" s="2" t="str">
        <f t="shared" si="11"/>
        <v>Quarter 4</v>
      </c>
    </row>
    <row r="259" spans="1:9" x14ac:dyDescent="0.25">
      <c r="A259">
        <v>2800061410</v>
      </c>
      <c r="B259">
        <v>273114</v>
      </c>
      <c r="C259" t="s">
        <v>13</v>
      </c>
      <c r="D259">
        <v>193.3</v>
      </c>
      <c r="E259" t="s">
        <v>14</v>
      </c>
      <c r="F259" s="3">
        <v>44120</v>
      </c>
      <c r="G259" s="2" t="str">
        <f t="shared" ref="G259:G322" si="12">TEXT(F259,"mmmm")</f>
        <v>October</v>
      </c>
      <c r="H259" s="2" t="str">
        <f t="shared" ref="H259:H322" si="13">"Week "&amp;((WEEKNUM(F259)-WEEKNUM(DATE(YEAR(F259),MONTH(F259),1))+1))</f>
        <v>Week 3</v>
      </c>
      <c r="I259" s="2" t="str">
        <f t="shared" ref="I259:I322" si="14">"Quarter " &amp; ROUNDUP((MONTH(F259))/3,0)</f>
        <v>Quarter 4</v>
      </c>
    </row>
    <row r="260" spans="1:9" x14ac:dyDescent="0.25">
      <c r="A260">
        <v>2800061412</v>
      </c>
      <c r="B260">
        <v>273114</v>
      </c>
      <c r="C260" t="s">
        <v>13</v>
      </c>
      <c r="D260">
        <v>33.799999999999997</v>
      </c>
      <c r="E260" t="s">
        <v>14</v>
      </c>
      <c r="F260" s="3">
        <v>44120</v>
      </c>
      <c r="G260" s="2" t="str">
        <f t="shared" si="12"/>
        <v>October</v>
      </c>
      <c r="H260" s="2" t="str">
        <f t="shared" si="13"/>
        <v>Week 3</v>
      </c>
      <c r="I260" s="2" t="str">
        <f t="shared" si="14"/>
        <v>Quarter 4</v>
      </c>
    </row>
    <row r="261" spans="1:9" x14ac:dyDescent="0.25">
      <c r="A261">
        <v>2800061415</v>
      </c>
      <c r="B261">
        <v>273114</v>
      </c>
      <c r="C261" t="s">
        <v>13</v>
      </c>
      <c r="D261">
        <v>74.75</v>
      </c>
      <c r="E261" t="s">
        <v>14</v>
      </c>
      <c r="F261" s="3">
        <v>44120</v>
      </c>
      <c r="G261" s="2" t="str">
        <f t="shared" si="12"/>
        <v>October</v>
      </c>
      <c r="H261" s="2" t="str">
        <f t="shared" si="13"/>
        <v>Week 3</v>
      </c>
      <c r="I261" s="2" t="str">
        <f t="shared" si="14"/>
        <v>Quarter 4</v>
      </c>
    </row>
    <row r="262" spans="1:9" x14ac:dyDescent="0.25">
      <c r="A262">
        <v>2800061417</v>
      </c>
      <c r="B262">
        <v>273114</v>
      </c>
      <c r="C262" t="s">
        <v>13</v>
      </c>
      <c r="D262">
        <v>847.9</v>
      </c>
      <c r="E262" t="s">
        <v>14</v>
      </c>
      <c r="F262" s="3">
        <v>44120</v>
      </c>
      <c r="G262" s="2" t="str">
        <f t="shared" si="12"/>
        <v>October</v>
      </c>
      <c r="H262" s="2" t="str">
        <f t="shared" si="13"/>
        <v>Week 3</v>
      </c>
      <c r="I262" s="2" t="str">
        <f t="shared" si="14"/>
        <v>Quarter 4</v>
      </c>
    </row>
    <row r="263" spans="1:9" x14ac:dyDescent="0.25">
      <c r="A263">
        <v>2800061444</v>
      </c>
      <c r="B263">
        <v>273114</v>
      </c>
      <c r="C263" t="s">
        <v>17</v>
      </c>
      <c r="D263">
        <v>100.25</v>
      </c>
      <c r="F263" s="3">
        <v>44120</v>
      </c>
      <c r="G263" s="2" t="str">
        <f t="shared" si="12"/>
        <v>October</v>
      </c>
      <c r="H263" s="2" t="str">
        <f t="shared" si="13"/>
        <v>Week 3</v>
      </c>
      <c r="I263" s="2" t="str">
        <f t="shared" si="14"/>
        <v>Quarter 4</v>
      </c>
    </row>
    <row r="264" spans="1:9" x14ac:dyDescent="0.25">
      <c r="A264">
        <v>2800061446</v>
      </c>
      <c r="B264">
        <v>273114</v>
      </c>
      <c r="C264" t="s">
        <v>17</v>
      </c>
      <c r="D264">
        <v>188.65</v>
      </c>
      <c r="F264" s="3">
        <v>44120</v>
      </c>
      <c r="G264" s="2" t="str">
        <f t="shared" si="12"/>
        <v>October</v>
      </c>
      <c r="H264" s="2" t="str">
        <f t="shared" si="13"/>
        <v>Week 3</v>
      </c>
      <c r="I264" s="2" t="str">
        <f t="shared" si="14"/>
        <v>Quarter 4</v>
      </c>
    </row>
    <row r="265" spans="1:9" x14ac:dyDescent="0.25">
      <c r="A265">
        <v>2800061447</v>
      </c>
      <c r="B265">
        <v>273114</v>
      </c>
      <c r="C265" t="s">
        <v>17</v>
      </c>
      <c r="D265">
        <v>28.85</v>
      </c>
      <c r="F265" s="3">
        <v>44120</v>
      </c>
      <c r="G265" s="2" t="str">
        <f t="shared" si="12"/>
        <v>October</v>
      </c>
      <c r="H265" s="2" t="str">
        <f t="shared" si="13"/>
        <v>Week 3</v>
      </c>
      <c r="I265" s="2" t="str">
        <f t="shared" si="14"/>
        <v>Quarter 4</v>
      </c>
    </row>
    <row r="266" spans="1:9" x14ac:dyDescent="0.25">
      <c r="A266">
        <v>2800061448</v>
      </c>
      <c r="B266">
        <v>273114</v>
      </c>
      <c r="C266" t="s">
        <v>17</v>
      </c>
      <c r="D266">
        <v>87.1</v>
      </c>
      <c r="F266" s="3">
        <v>44120</v>
      </c>
      <c r="G266" s="2" t="str">
        <f t="shared" si="12"/>
        <v>October</v>
      </c>
      <c r="H266" s="2" t="str">
        <f t="shared" si="13"/>
        <v>Week 3</v>
      </c>
      <c r="I266" s="2" t="str">
        <f t="shared" si="14"/>
        <v>Quarter 4</v>
      </c>
    </row>
    <row r="267" spans="1:9" x14ac:dyDescent="0.25">
      <c r="A267">
        <v>2800061421</v>
      </c>
      <c r="B267">
        <v>273115</v>
      </c>
      <c r="C267" t="s">
        <v>13</v>
      </c>
      <c r="D267">
        <v>567.70000000000005</v>
      </c>
      <c r="E267" t="s">
        <v>14</v>
      </c>
      <c r="F267" s="3">
        <v>44120</v>
      </c>
      <c r="G267" s="2" t="str">
        <f t="shared" si="12"/>
        <v>October</v>
      </c>
      <c r="H267" s="2" t="str">
        <f t="shared" si="13"/>
        <v>Week 3</v>
      </c>
      <c r="I267" s="2" t="str">
        <f t="shared" si="14"/>
        <v>Quarter 4</v>
      </c>
    </row>
    <row r="268" spans="1:9" x14ac:dyDescent="0.25">
      <c r="A268">
        <v>2800061427</v>
      </c>
      <c r="B268">
        <v>273116</v>
      </c>
      <c r="C268" t="s">
        <v>13</v>
      </c>
      <c r="D268">
        <v>11.85</v>
      </c>
      <c r="E268" t="s">
        <v>14</v>
      </c>
      <c r="F268" s="3">
        <v>44120</v>
      </c>
      <c r="G268" s="2" t="str">
        <f t="shared" si="12"/>
        <v>October</v>
      </c>
      <c r="H268" s="2" t="str">
        <f t="shared" si="13"/>
        <v>Week 3</v>
      </c>
      <c r="I268" s="2" t="str">
        <f t="shared" si="14"/>
        <v>Quarter 4</v>
      </c>
    </row>
    <row r="269" spans="1:9" x14ac:dyDescent="0.25">
      <c r="A269">
        <v>2800061428</v>
      </c>
      <c r="B269">
        <v>273116</v>
      </c>
      <c r="C269" t="s">
        <v>13</v>
      </c>
      <c r="D269">
        <v>11.85</v>
      </c>
      <c r="E269" t="s">
        <v>14</v>
      </c>
      <c r="F269" s="3">
        <v>44120</v>
      </c>
      <c r="G269" s="2" t="str">
        <f t="shared" si="12"/>
        <v>October</v>
      </c>
      <c r="H269" s="2" t="str">
        <f t="shared" si="13"/>
        <v>Week 3</v>
      </c>
      <c r="I269" s="2" t="str">
        <f t="shared" si="14"/>
        <v>Quarter 4</v>
      </c>
    </row>
    <row r="270" spans="1:9" x14ac:dyDescent="0.25">
      <c r="A270">
        <v>2800061244</v>
      </c>
      <c r="B270">
        <v>273118</v>
      </c>
      <c r="C270" t="s">
        <v>15</v>
      </c>
      <c r="D270">
        <v>7.8</v>
      </c>
      <c r="F270" s="3">
        <v>44120</v>
      </c>
      <c r="G270" s="2" t="str">
        <f t="shared" si="12"/>
        <v>October</v>
      </c>
      <c r="H270" s="2" t="str">
        <f t="shared" si="13"/>
        <v>Week 3</v>
      </c>
      <c r="I270" s="2" t="str">
        <f t="shared" si="14"/>
        <v>Quarter 4</v>
      </c>
    </row>
    <row r="271" spans="1:9" x14ac:dyDescent="0.25">
      <c r="A271">
        <v>2800061429</v>
      </c>
      <c r="B271">
        <v>273118</v>
      </c>
      <c r="C271" t="s">
        <v>16</v>
      </c>
      <c r="D271">
        <v>5635.7</v>
      </c>
      <c r="F271" s="3">
        <v>44120</v>
      </c>
      <c r="G271" s="2" t="str">
        <f t="shared" si="12"/>
        <v>October</v>
      </c>
      <c r="H271" s="2" t="str">
        <f t="shared" si="13"/>
        <v>Week 3</v>
      </c>
      <c r="I271" s="2" t="str">
        <f t="shared" si="14"/>
        <v>Quarter 4</v>
      </c>
    </row>
    <row r="272" spans="1:9" x14ac:dyDescent="0.25">
      <c r="A272">
        <v>2800061518</v>
      </c>
      <c r="B272">
        <v>273118</v>
      </c>
      <c r="C272" t="s">
        <v>15</v>
      </c>
      <c r="D272">
        <v>309.3</v>
      </c>
      <c r="F272" s="3">
        <v>44120</v>
      </c>
      <c r="G272" s="2" t="str">
        <f t="shared" si="12"/>
        <v>October</v>
      </c>
      <c r="H272" s="2" t="str">
        <f t="shared" si="13"/>
        <v>Week 3</v>
      </c>
      <c r="I272" s="2" t="str">
        <f t="shared" si="14"/>
        <v>Quarter 4</v>
      </c>
    </row>
    <row r="273" spans="1:9" x14ac:dyDescent="0.25">
      <c r="A273">
        <v>2800061503</v>
      </c>
      <c r="B273">
        <v>271151</v>
      </c>
      <c r="C273" t="s">
        <v>9</v>
      </c>
      <c r="D273">
        <v>1410</v>
      </c>
      <c r="E273" t="s">
        <v>21</v>
      </c>
      <c r="F273" s="3">
        <v>44120</v>
      </c>
      <c r="G273" s="2" t="str">
        <f t="shared" si="12"/>
        <v>October</v>
      </c>
      <c r="H273" s="2" t="str">
        <f t="shared" si="13"/>
        <v>Week 3</v>
      </c>
      <c r="I273" s="2" t="str">
        <f t="shared" si="14"/>
        <v>Quarter 4</v>
      </c>
    </row>
    <row r="274" spans="1:9" x14ac:dyDescent="0.25">
      <c r="A274">
        <v>2800061504</v>
      </c>
      <c r="B274">
        <v>271151</v>
      </c>
      <c r="C274" t="s">
        <v>9</v>
      </c>
      <c r="D274">
        <v>762.6</v>
      </c>
      <c r="E274" t="s">
        <v>21</v>
      </c>
      <c r="F274" s="3">
        <v>44120</v>
      </c>
      <c r="G274" s="2" t="str">
        <f t="shared" si="12"/>
        <v>October</v>
      </c>
      <c r="H274" s="2" t="str">
        <f t="shared" si="13"/>
        <v>Week 3</v>
      </c>
      <c r="I274" s="2" t="str">
        <f t="shared" si="14"/>
        <v>Quarter 4</v>
      </c>
    </row>
    <row r="275" spans="1:9" x14ac:dyDescent="0.25">
      <c r="A275">
        <v>2800061514</v>
      </c>
      <c r="B275">
        <v>271151</v>
      </c>
      <c r="C275" t="s">
        <v>9</v>
      </c>
      <c r="D275">
        <v>465</v>
      </c>
      <c r="E275" t="s">
        <v>10</v>
      </c>
      <c r="F275" s="3">
        <v>44120</v>
      </c>
      <c r="G275" s="2" t="str">
        <f t="shared" si="12"/>
        <v>October</v>
      </c>
      <c r="H275" s="2" t="str">
        <f t="shared" si="13"/>
        <v>Week 3</v>
      </c>
      <c r="I275" s="2" t="str">
        <f t="shared" si="14"/>
        <v>Quarter 4</v>
      </c>
    </row>
    <row r="276" spans="1:9" x14ac:dyDescent="0.25">
      <c r="A276">
        <v>2800061274</v>
      </c>
      <c r="B276">
        <v>271351</v>
      </c>
      <c r="C276" t="s">
        <v>9</v>
      </c>
      <c r="D276">
        <v>1300</v>
      </c>
      <c r="E276" t="s">
        <v>12</v>
      </c>
      <c r="F276" s="3">
        <v>44120</v>
      </c>
      <c r="G276" s="2" t="str">
        <f t="shared" si="12"/>
        <v>October</v>
      </c>
      <c r="H276" s="2" t="str">
        <f t="shared" si="13"/>
        <v>Week 3</v>
      </c>
      <c r="I276" s="2" t="str">
        <f t="shared" si="14"/>
        <v>Quarter 4</v>
      </c>
    </row>
    <row r="277" spans="1:9" x14ac:dyDescent="0.25">
      <c r="A277">
        <v>2800061215</v>
      </c>
      <c r="B277">
        <v>273114</v>
      </c>
      <c r="C277" t="s">
        <v>15</v>
      </c>
      <c r="D277">
        <v>276.5</v>
      </c>
      <c r="F277" s="3">
        <v>44120</v>
      </c>
      <c r="G277" s="2" t="str">
        <f t="shared" si="12"/>
        <v>October</v>
      </c>
      <c r="H277" s="2" t="str">
        <f t="shared" si="13"/>
        <v>Week 3</v>
      </c>
      <c r="I277" s="2" t="str">
        <f t="shared" si="14"/>
        <v>Quarter 4</v>
      </c>
    </row>
    <row r="278" spans="1:9" x14ac:dyDescent="0.25">
      <c r="A278">
        <v>2800061263</v>
      </c>
      <c r="B278">
        <v>273114</v>
      </c>
      <c r="C278" t="s">
        <v>22</v>
      </c>
      <c r="D278">
        <v>11.9</v>
      </c>
      <c r="E278" t="s">
        <v>23</v>
      </c>
      <c r="F278" s="3">
        <v>44120</v>
      </c>
      <c r="G278" s="2" t="str">
        <f t="shared" si="12"/>
        <v>October</v>
      </c>
      <c r="H278" s="2" t="str">
        <f t="shared" si="13"/>
        <v>Week 3</v>
      </c>
      <c r="I278" s="2" t="str">
        <f t="shared" si="14"/>
        <v>Quarter 4</v>
      </c>
    </row>
    <row r="279" spans="1:9" x14ac:dyDescent="0.25">
      <c r="A279">
        <v>2800061299</v>
      </c>
      <c r="B279">
        <v>273114</v>
      </c>
      <c r="C279" t="s">
        <v>15</v>
      </c>
      <c r="D279">
        <v>58.45</v>
      </c>
      <c r="F279" s="3">
        <v>44120</v>
      </c>
      <c r="G279" s="2" t="str">
        <f t="shared" si="12"/>
        <v>October</v>
      </c>
      <c r="H279" s="2" t="str">
        <f t="shared" si="13"/>
        <v>Week 3</v>
      </c>
      <c r="I279" s="2" t="str">
        <f t="shared" si="14"/>
        <v>Quarter 4</v>
      </c>
    </row>
    <row r="280" spans="1:9" x14ac:dyDescent="0.25">
      <c r="A280">
        <v>2800061360</v>
      </c>
      <c r="B280">
        <v>273114</v>
      </c>
      <c r="C280" t="s">
        <v>15</v>
      </c>
      <c r="D280">
        <v>3987.3</v>
      </c>
      <c r="F280" s="3">
        <v>44120</v>
      </c>
      <c r="G280" s="2" t="str">
        <f t="shared" si="12"/>
        <v>October</v>
      </c>
      <c r="H280" s="2" t="str">
        <f t="shared" si="13"/>
        <v>Week 3</v>
      </c>
      <c r="I280" s="2" t="str">
        <f t="shared" si="14"/>
        <v>Quarter 4</v>
      </c>
    </row>
    <row r="281" spans="1:9" x14ac:dyDescent="0.25">
      <c r="A281">
        <v>2800061459</v>
      </c>
      <c r="B281">
        <v>273114</v>
      </c>
      <c r="C281" t="s">
        <v>16</v>
      </c>
      <c r="D281">
        <v>222.55</v>
      </c>
      <c r="F281" s="3">
        <v>44120</v>
      </c>
      <c r="G281" s="2" t="str">
        <f t="shared" si="12"/>
        <v>October</v>
      </c>
      <c r="H281" s="2" t="str">
        <f t="shared" si="13"/>
        <v>Week 3</v>
      </c>
      <c r="I281" s="2" t="str">
        <f t="shared" si="14"/>
        <v>Quarter 4</v>
      </c>
    </row>
    <row r="282" spans="1:9" x14ac:dyDescent="0.25">
      <c r="A282">
        <v>2800061275</v>
      </c>
      <c r="B282">
        <v>271351</v>
      </c>
      <c r="C282" t="s">
        <v>9</v>
      </c>
      <c r="D282">
        <v>17.75</v>
      </c>
      <c r="E282" t="s">
        <v>24</v>
      </c>
      <c r="F282" s="3">
        <v>44120</v>
      </c>
      <c r="G282" s="2" t="str">
        <f t="shared" si="12"/>
        <v>October</v>
      </c>
      <c r="H282" s="2" t="str">
        <f t="shared" si="13"/>
        <v>Week 3</v>
      </c>
      <c r="I282" s="2" t="str">
        <f t="shared" si="14"/>
        <v>Quarter 4</v>
      </c>
    </row>
    <row r="283" spans="1:9" x14ac:dyDescent="0.25">
      <c r="A283">
        <v>2800061507</v>
      </c>
      <c r="B283">
        <v>271351</v>
      </c>
      <c r="C283" t="s">
        <v>9</v>
      </c>
      <c r="D283">
        <v>200</v>
      </c>
      <c r="E283" t="s">
        <v>21</v>
      </c>
      <c r="F283" s="3">
        <v>44120</v>
      </c>
      <c r="G283" s="2" t="str">
        <f t="shared" si="12"/>
        <v>October</v>
      </c>
      <c r="H283" s="2" t="str">
        <f t="shared" si="13"/>
        <v>Week 3</v>
      </c>
      <c r="I283" s="2" t="str">
        <f t="shared" si="14"/>
        <v>Quarter 4</v>
      </c>
    </row>
    <row r="284" spans="1:9" x14ac:dyDescent="0.25">
      <c r="A284">
        <v>2800061508</v>
      </c>
      <c r="B284">
        <v>271351</v>
      </c>
      <c r="C284" t="s">
        <v>9</v>
      </c>
      <c r="D284">
        <v>120</v>
      </c>
      <c r="E284" t="s">
        <v>21</v>
      </c>
      <c r="F284" s="3">
        <v>44120</v>
      </c>
      <c r="G284" s="2" t="str">
        <f t="shared" si="12"/>
        <v>October</v>
      </c>
      <c r="H284" s="2" t="str">
        <f t="shared" si="13"/>
        <v>Week 3</v>
      </c>
      <c r="I284" s="2" t="str">
        <f t="shared" si="14"/>
        <v>Quarter 4</v>
      </c>
    </row>
    <row r="285" spans="1:9" x14ac:dyDescent="0.25">
      <c r="A285">
        <v>2800061509</v>
      </c>
      <c r="B285">
        <v>271351</v>
      </c>
      <c r="C285" t="s">
        <v>9</v>
      </c>
      <c r="D285">
        <v>200</v>
      </c>
      <c r="E285" t="s">
        <v>21</v>
      </c>
      <c r="F285" s="3">
        <v>44120</v>
      </c>
      <c r="G285" s="2" t="str">
        <f t="shared" si="12"/>
        <v>October</v>
      </c>
      <c r="H285" s="2" t="str">
        <f t="shared" si="13"/>
        <v>Week 3</v>
      </c>
      <c r="I285" s="2" t="str">
        <f t="shared" si="14"/>
        <v>Quarter 4</v>
      </c>
    </row>
    <row r="286" spans="1:9" x14ac:dyDescent="0.25">
      <c r="A286">
        <v>2800061510</v>
      </c>
      <c r="B286">
        <v>271351</v>
      </c>
      <c r="C286" t="s">
        <v>9</v>
      </c>
      <c r="D286">
        <v>200</v>
      </c>
      <c r="E286" t="s">
        <v>21</v>
      </c>
      <c r="F286" s="3">
        <v>44120</v>
      </c>
      <c r="G286" s="2" t="str">
        <f t="shared" si="12"/>
        <v>October</v>
      </c>
      <c r="H286" s="2" t="str">
        <f t="shared" si="13"/>
        <v>Week 3</v>
      </c>
      <c r="I286" s="2" t="str">
        <f t="shared" si="14"/>
        <v>Quarter 4</v>
      </c>
    </row>
    <row r="287" spans="1:9" x14ac:dyDescent="0.25">
      <c r="A287">
        <v>2800061511</v>
      </c>
      <c r="B287">
        <v>271351</v>
      </c>
      <c r="C287" t="s">
        <v>9</v>
      </c>
      <c r="D287">
        <v>200</v>
      </c>
      <c r="E287" t="s">
        <v>21</v>
      </c>
      <c r="F287" s="3">
        <v>44120</v>
      </c>
      <c r="G287" s="2" t="str">
        <f t="shared" si="12"/>
        <v>October</v>
      </c>
      <c r="H287" s="2" t="str">
        <f t="shared" si="13"/>
        <v>Week 3</v>
      </c>
      <c r="I287" s="2" t="str">
        <f t="shared" si="14"/>
        <v>Quarter 4</v>
      </c>
    </row>
    <row r="288" spans="1:9" x14ac:dyDescent="0.25">
      <c r="A288">
        <v>2800061505</v>
      </c>
      <c r="B288">
        <v>271151</v>
      </c>
      <c r="C288" t="s">
        <v>9</v>
      </c>
      <c r="D288">
        <v>400</v>
      </c>
      <c r="E288" t="s">
        <v>21</v>
      </c>
      <c r="F288" s="3">
        <v>44120</v>
      </c>
      <c r="G288" s="2" t="str">
        <f t="shared" si="12"/>
        <v>October</v>
      </c>
      <c r="H288" s="2" t="str">
        <f t="shared" si="13"/>
        <v>Week 3</v>
      </c>
      <c r="I288" s="2" t="str">
        <f t="shared" si="14"/>
        <v>Quarter 4</v>
      </c>
    </row>
    <row r="289" spans="1:9" x14ac:dyDescent="0.25">
      <c r="A289">
        <v>2800061506</v>
      </c>
      <c r="B289">
        <v>271151</v>
      </c>
      <c r="C289" t="s">
        <v>9</v>
      </c>
      <c r="D289">
        <v>3000</v>
      </c>
      <c r="E289" t="s">
        <v>21</v>
      </c>
      <c r="F289" s="3">
        <v>44120</v>
      </c>
      <c r="G289" s="2" t="str">
        <f t="shared" si="12"/>
        <v>October</v>
      </c>
      <c r="H289" s="2" t="str">
        <f t="shared" si="13"/>
        <v>Week 3</v>
      </c>
      <c r="I289" s="2" t="str">
        <f t="shared" si="14"/>
        <v>Quarter 4</v>
      </c>
    </row>
    <row r="290" spans="1:9" x14ac:dyDescent="0.25">
      <c r="A290">
        <v>2800061530</v>
      </c>
      <c r="B290">
        <v>271151</v>
      </c>
      <c r="C290" t="s">
        <v>16</v>
      </c>
      <c r="D290">
        <v>4120</v>
      </c>
      <c r="F290" s="3">
        <v>44120</v>
      </c>
      <c r="G290" s="2" t="str">
        <f t="shared" si="12"/>
        <v>October</v>
      </c>
      <c r="H290" s="2" t="str">
        <f t="shared" si="13"/>
        <v>Week 3</v>
      </c>
      <c r="I290" s="2" t="str">
        <f t="shared" si="14"/>
        <v>Quarter 4</v>
      </c>
    </row>
    <row r="291" spans="1:9" x14ac:dyDescent="0.25">
      <c r="A291">
        <v>2800061430</v>
      </c>
      <c r="B291">
        <v>273118</v>
      </c>
      <c r="C291" t="s">
        <v>16</v>
      </c>
      <c r="D291">
        <v>6374.4</v>
      </c>
      <c r="F291" s="3">
        <v>44120</v>
      </c>
      <c r="G291" s="2" t="str">
        <f t="shared" si="12"/>
        <v>October</v>
      </c>
      <c r="H291" s="2" t="str">
        <f t="shared" si="13"/>
        <v>Week 3</v>
      </c>
      <c r="I291" s="2" t="str">
        <f t="shared" si="14"/>
        <v>Quarter 4</v>
      </c>
    </row>
    <row r="292" spans="1:9" x14ac:dyDescent="0.25">
      <c r="A292">
        <v>2800061434</v>
      </c>
      <c r="B292">
        <v>273118</v>
      </c>
      <c r="C292" t="s">
        <v>16</v>
      </c>
      <c r="D292">
        <v>10850</v>
      </c>
      <c r="F292" s="3">
        <v>44120</v>
      </c>
      <c r="G292" s="2" t="str">
        <f t="shared" si="12"/>
        <v>October</v>
      </c>
      <c r="H292" s="2" t="str">
        <f t="shared" si="13"/>
        <v>Week 3</v>
      </c>
      <c r="I292" s="2" t="str">
        <f t="shared" si="14"/>
        <v>Quarter 4</v>
      </c>
    </row>
    <row r="293" spans="1:9" x14ac:dyDescent="0.25">
      <c r="A293">
        <v>2800061451</v>
      </c>
      <c r="B293">
        <v>271351</v>
      </c>
      <c r="C293" t="s">
        <v>16</v>
      </c>
      <c r="D293">
        <v>5.55</v>
      </c>
      <c r="F293" s="3">
        <v>44120</v>
      </c>
      <c r="G293" s="2" t="str">
        <f t="shared" si="12"/>
        <v>October</v>
      </c>
      <c r="H293" s="2" t="str">
        <f t="shared" si="13"/>
        <v>Week 3</v>
      </c>
      <c r="I293" s="2" t="str">
        <f t="shared" si="14"/>
        <v>Quarter 4</v>
      </c>
    </row>
    <row r="294" spans="1:9" x14ac:dyDescent="0.25">
      <c r="A294">
        <v>2800061467</v>
      </c>
      <c r="B294">
        <v>273116</v>
      </c>
      <c r="C294" t="s">
        <v>16</v>
      </c>
      <c r="D294">
        <v>482.38</v>
      </c>
      <c r="F294" s="3">
        <v>44120</v>
      </c>
      <c r="G294" s="2" t="str">
        <f t="shared" si="12"/>
        <v>October</v>
      </c>
      <c r="H294" s="2" t="str">
        <f t="shared" si="13"/>
        <v>Week 3</v>
      </c>
      <c r="I294" s="2" t="str">
        <f t="shared" si="14"/>
        <v>Quarter 4</v>
      </c>
    </row>
    <row r="295" spans="1:9" x14ac:dyDescent="0.25">
      <c r="A295">
        <v>2800061534</v>
      </c>
      <c r="B295">
        <v>271151</v>
      </c>
      <c r="C295" t="s">
        <v>16</v>
      </c>
      <c r="D295">
        <v>19769</v>
      </c>
      <c r="F295" s="3">
        <v>44120</v>
      </c>
      <c r="G295" s="2" t="str">
        <f t="shared" si="12"/>
        <v>October</v>
      </c>
      <c r="H295" s="2" t="str">
        <f t="shared" si="13"/>
        <v>Week 3</v>
      </c>
      <c r="I295" s="2" t="str">
        <f t="shared" si="14"/>
        <v>Quarter 4</v>
      </c>
    </row>
    <row r="296" spans="1:9" x14ac:dyDescent="0.25">
      <c r="A296">
        <v>2800061259</v>
      </c>
      <c r="B296">
        <v>273114</v>
      </c>
      <c r="C296" t="s">
        <v>15</v>
      </c>
      <c r="D296">
        <v>98.7</v>
      </c>
      <c r="F296" s="3">
        <v>44120</v>
      </c>
      <c r="G296" s="2" t="str">
        <f t="shared" si="12"/>
        <v>October</v>
      </c>
      <c r="H296" s="2" t="str">
        <f t="shared" si="13"/>
        <v>Week 3</v>
      </c>
      <c r="I296" s="2" t="str">
        <f t="shared" si="14"/>
        <v>Quarter 4</v>
      </c>
    </row>
    <row r="297" spans="1:9" x14ac:dyDescent="0.25">
      <c r="A297">
        <v>2800061270</v>
      </c>
      <c r="B297">
        <v>271351</v>
      </c>
      <c r="C297" t="s">
        <v>9</v>
      </c>
      <c r="D297">
        <v>3900</v>
      </c>
      <c r="E297" t="s">
        <v>12</v>
      </c>
      <c r="F297" s="3">
        <v>44120</v>
      </c>
      <c r="G297" s="2" t="str">
        <f t="shared" si="12"/>
        <v>October</v>
      </c>
      <c r="H297" s="2" t="str">
        <f t="shared" si="13"/>
        <v>Week 3</v>
      </c>
      <c r="I297" s="2" t="str">
        <f t="shared" si="14"/>
        <v>Quarter 4</v>
      </c>
    </row>
    <row r="298" spans="1:9" x14ac:dyDescent="0.25">
      <c r="A298">
        <v>2800061532</v>
      </c>
      <c r="B298">
        <v>271151</v>
      </c>
      <c r="C298" t="s">
        <v>16</v>
      </c>
      <c r="D298">
        <v>7623</v>
      </c>
      <c r="F298" s="3">
        <v>44120</v>
      </c>
      <c r="G298" s="2" t="str">
        <f t="shared" si="12"/>
        <v>October</v>
      </c>
      <c r="H298" s="2" t="str">
        <f t="shared" si="13"/>
        <v>Week 3</v>
      </c>
      <c r="I298" s="2" t="str">
        <f t="shared" si="14"/>
        <v>Quarter 4</v>
      </c>
    </row>
    <row r="299" spans="1:9" x14ac:dyDescent="0.25">
      <c r="A299">
        <v>2800061276</v>
      </c>
      <c r="B299">
        <v>271351</v>
      </c>
      <c r="C299" t="s">
        <v>9</v>
      </c>
      <c r="D299">
        <v>217.05</v>
      </c>
      <c r="E299" t="s">
        <v>24</v>
      </c>
      <c r="F299" s="3">
        <v>44120</v>
      </c>
      <c r="G299" s="2" t="str">
        <f t="shared" si="12"/>
        <v>October</v>
      </c>
      <c r="H299" s="2" t="str">
        <f t="shared" si="13"/>
        <v>Week 3</v>
      </c>
      <c r="I299" s="2" t="str">
        <f t="shared" si="14"/>
        <v>Quarter 4</v>
      </c>
    </row>
    <row r="300" spans="1:9" x14ac:dyDescent="0.25">
      <c r="A300">
        <v>2800061450</v>
      </c>
      <c r="B300">
        <v>271351</v>
      </c>
      <c r="C300" t="s">
        <v>16</v>
      </c>
      <c r="D300">
        <v>477.55</v>
      </c>
      <c r="F300" s="3">
        <v>44120</v>
      </c>
      <c r="G300" s="2" t="str">
        <f t="shared" si="12"/>
        <v>October</v>
      </c>
      <c r="H300" s="2" t="str">
        <f t="shared" si="13"/>
        <v>Week 3</v>
      </c>
      <c r="I300" s="2" t="str">
        <f t="shared" si="14"/>
        <v>Quarter 4</v>
      </c>
    </row>
    <row r="301" spans="1:9" x14ac:dyDescent="0.25">
      <c r="A301">
        <v>2800061527</v>
      </c>
      <c r="B301">
        <v>271351</v>
      </c>
      <c r="C301" t="s">
        <v>16</v>
      </c>
      <c r="D301">
        <v>55.65</v>
      </c>
      <c r="F301" s="3">
        <v>44120</v>
      </c>
      <c r="G301" s="2" t="str">
        <f t="shared" si="12"/>
        <v>October</v>
      </c>
      <c r="H301" s="2" t="str">
        <f t="shared" si="13"/>
        <v>Week 3</v>
      </c>
      <c r="I301" s="2" t="str">
        <f t="shared" si="14"/>
        <v>Quarter 4</v>
      </c>
    </row>
    <row r="302" spans="1:9" x14ac:dyDescent="0.25">
      <c r="A302">
        <v>2800061425</v>
      </c>
      <c r="B302">
        <v>273114</v>
      </c>
      <c r="C302" t="s">
        <v>25</v>
      </c>
      <c r="D302">
        <v>1447.8</v>
      </c>
      <c r="F302" s="3">
        <v>44120</v>
      </c>
      <c r="G302" s="2" t="str">
        <f t="shared" si="12"/>
        <v>October</v>
      </c>
      <c r="H302" s="2" t="str">
        <f t="shared" si="13"/>
        <v>Week 3</v>
      </c>
      <c r="I302" s="2" t="str">
        <f t="shared" si="14"/>
        <v>Quarter 4</v>
      </c>
    </row>
    <row r="303" spans="1:9" x14ac:dyDescent="0.25">
      <c r="A303">
        <v>2800061553</v>
      </c>
      <c r="B303">
        <v>271351</v>
      </c>
      <c r="C303" t="s">
        <v>18</v>
      </c>
      <c r="D303">
        <v>222.6</v>
      </c>
      <c r="E303" t="s">
        <v>19</v>
      </c>
      <c r="F303" s="3">
        <v>44120</v>
      </c>
      <c r="G303" s="2" t="str">
        <f t="shared" si="12"/>
        <v>October</v>
      </c>
      <c r="H303" s="2" t="str">
        <f t="shared" si="13"/>
        <v>Week 3</v>
      </c>
      <c r="I303" s="2" t="str">
        <f t="shared" si="14"/>
        <v>Quarter 4</v>
      </c>
    </row>
    <row r="304" spans="1:9" x14ac:dyDescent="0.25">
      <c r="A304">
        <v>2800061529</v>
      </c>
      <c r="B304">
        <v>271151</v>
      </c>
      <c r="C304" t="s">
        <v>16</v>
      </c>
      <c r="D304">
        <v>7000</v>
      </c>
      <c r="F304" s="3">
        <v>44120</v>
      </c>
      <c r="G304" s="2" t="str">
        <f t="shared" si="12"/>
        <v>October</v>
      </c>
      <c r="H304" s="2" t="str">
        <f t="shared" si="13"/>
        <v>Week 3</v>
      </c>
      <c r="I304" s="2" t="str">
        <f t="shared" si="14"/>
        <v>Quarter 4</v>
      </c>
    </row>
    <row r="305" spans="1:9" x14ac:dyDescent="0.25">
      <c r="A305">
        <v>2800061531</v>
      </c>
      <c r="B305">
        <v>271151</v>
      </c>
      <c r="C305" t="s">
        <v>16</v>
      </c>
      <c r="D305">
        <v>7623</v>
      </c>
      <c r="F305" s="3">
        <v>44120</v>
      </c>
      <c r="G305" s="2" t="str">
        <f t="shared" si="12"/>
        <v>October</v>
      </c>
      <c r="H305" s="2" t="str">
        <f t="shared" si="13"/>
        <v>Week 3</v>
      </c>
      <c r="I305" s="2" t="str">
        <f t="shared" si="14"/>
        <v>Quarter 4</v>
      </c>
    </row>
    <row r="306" spans="1:9" x14ac:dyDescent="0.25">
      <c r="A306">
        <v>2800061449</v>
      </c>
      <c r="B306">
        <v>271351</v>
      </c>
      <c r="C306" t="s">
        <v>16</v>
      </c>
      <c r="D306">
        <v>2093.4499999999998</v>
      </c>
      <c r="F306" s="3">
        <v>44120</v>
      </c>
      <c r="G306" s="2" t="str">
        <f t="shared" si="12"/>
        <v>October</v>
      </c>
      <c r="H306" s="2" t="str">
        <f t="shared" si="13"/>
        <v>Week 3</v>
      </c>
      <c r="I306" s="2" t="str">
        <f t="shared" si="14"/>
        <v>Quarter 4</v>
      </c>
    </row>
    <row r="307" spans="1:9" x14ac:dyDescent="0.25">
      <c r="A307">
        <v>2800061524</v>
      </c>
      <c r="B307">
        <v>271351</v>
      </c>
      <c r="C307" t="s">
        <v>16</v>
      </c>
      <c r="D307">
        <v>151.6</v>
      </c>
      <c r="F307" s="3">
        <v>44120</v>
      </c>
      <c r="G307" s="2" t="str">
        <f t="shared" si="12"/>
        <v>October</v>
      </c>
      <c r="H307" s="2" t="str">
        <f t="shared" si="13"/>
        <v>Week 3</v>
      </c>
      <c r="I307" s="2" t="str">
        <f t="shared" si="14"/>
        <v>Quarter 4</v>
      </c>
    </row>
    <row r="308" spans="1:9" x14ac:dyDescent="0.25">
      <c r="A308">
        <v>2800061445</v>
      </c>
      <c r="B308">
        <v>990201</v>
      </c>
      <c r="C308" t="s">
        <v>16</v>
      </c>
      <c r="D308">
        <v>618.37</v>
      </c>
      <c r="F308" s="3">
        <v>44120</v>
      </c>
      <c r="G308" s="2" t="str">
        <f t="shared" si="12"/>
        <v>October</v>
      </c>
      <c r="H308" s="2" t="str">
        <f t="shared" si="13"/>
        <v>Week 3</v>
      </c>
      <c r="I308" s="2" t="str">
        <f t="shared" si="14"/>
        <v>Quarter 4</v>
      </c>
    </row>
    <row r="309" spans="1:9" x14ac:dyDescent="0.25">
      <c r="A309">
        <v>2800061526</v>
      </c>
      <c r="B309">
        <v>271351</v>
      </c>
      <c r="C309" t="s">
        <v>16</v>
      </c>
      <c r="D309">
        <v>74.75</v>
      </c>
      <c r="F309" s="3">
        <v>44120</v>
      </c>
      <c r="G309" s="2" t="str">
        <f t="shared" si="12"/>
        <v>October</v>
      </c>
      <c r="H309" s="2" t="str">
        <f t="shared" si="13"/>
        <v>Week 3</v>
      </c>
      <c r="I309" s="2" t="str">
        <f t="shared" si="14"/>
        <v>Quarter 4</v>
      </c>
    </row>
    <row r="310" spans="1:9" x14ac:dyDescent="0.25">
      <c r="A310">
        <v>2800061533</v>
      </c>
      <c r="B310">
        <v>271151</v>
      </c>
      <c r="C310" t="s">
        <v>16</v>
      </c>
      <c r="D310">
        <v>19769</v>
      </c>
      <c r="F310" s="3">
        <v>44120</v>
      </c>
      <c r="G310" s="2" t="str">
        <f t="shared" si="12"/>
        <v>October</v>
      </c>
      <c r="H310" s="2" t="str">
        <f t="shared" si="13"/>
        <v>Week 3</v>
      </c>
      <c r="I310" s="2" t="str">
        <f t="shared" si="14"/>
        <v>Quarter 4</v>
      </c>
    </row>
    <row r="311" spans="1:9" x14ac:dyDescent="0.25">
      <c r="A311">
        <v>2800061435</v>
      </c>
      <c r="B311">
        <v>271351</v>
      </c>
      <c r="C311" t="s">
        <v>16</v>
      </c>
      <c r="D311">
        <v>333.65</v>
      </c>
      <c r="F311" s="3">
        <v>44120</v>
      </c>
      <c r="G311" s="2" t="str">
        <f t="shared" si="12"/>
        <v>October</v>
      </c>
      <c r="H311" s="2" t="str">
        <f t="shared" si="13"/>
        <v>Week 3</v>
      </c>
      <c r="I311" s="2" t="str">
        <f t="shared" si="14"/>
        <v>Quarter 4</v>
      </c>
    </row>
    <row r="312" spans="1:9" x14ac:dyDescent="0.25">
      <c r="A312">
        <v>2800061552</v>
      </c>
      <c r="B312">
        <v>271351</v>
      </c>
      <c r="C312" t="s">
        <v>18</v>
      </c>
      <c r="D312">
        <v>55.65</v>
      </c>
      <c r="E312" t="s">
        <v>19</v>
      </c>
      <c r="F312" s="3">
        <v>44120</v>
      </c>
      <c r="G312" s="2" t="str">
        <f t="shared" si="12"/>
        <v>October</v>
      </c>
      <c r="H312" s="2" t="str">
        <f t="shared" si="13"/>
        <v>Week 3</v>
      </c>
      <c r="I312" s="2" t="str">
        <f t="shared" si="14"/>
        <v>Quarter 4</v>
      </c>
    </row>
    <row r="313" spans="1:9" x14ac:dyDescent="0.25">
      <c r="A313">
        <v>2800061519</v>
      </c>
      <c r="B313">
        <v>271351</v>
      </c>
      <c r="C313" t="s">
        <v>16</v>
      </c>
      <c r="D313">
        <v>918.15</v>
      </c>
      <c r="F313" s="3">
        <v>44120</v>
      </c>
      <c r="G313" s="2" t="str">
        <f t="shared" si="12"/>
        <v>October</v>
      </c>
      <c r="H313" s="2" t="str">
        <f t="shared" si="13"/>
        <v>Week 3</v>
      </c>
      <c r="I313" s="2" t="str">
        <f t="shared" si="14"/>
        <v>Quarter 4</v>
      </c>
    </row>
    <row r="314" spans="1:9" x14ac:dyDescent="0.25">
      <c r="A314">
        <v>2800061432</v>
      </c>
      <c r="B314">
        <v>271351</v>
      </c>
      <c r="C314" t="s">
        <v>16</v>
      </c>
      <c r="D314">
        <v>24.1</v>
      </c>
      <c r="F314" s="3">
        <v>44120</v>
      </c>
      <c r="G314" s="2" t="str">
        <f t="shared" si="12"/>
        <v>October</v>
      </c>
      <c r="H314" s="2" t="str">
        <f t="shared" si="13"/>
        <v>Week 3</v>
      </c>
      <c r="I314" s="2" t="str">
        <f t="shared" si="14"/>
        <v>Quarter 4</v>
      </c>
    </row>
    <row r="315" spans="1:9" x14ac:dyDescent="0.25">
      <c r="A315">
        <v>2800061523</v>
      </c>
      <c r="B315">
        <v>271351</v>
      </c>
      <c r="C315" t="s">
        <v>16</v>
      </c>
      <c r="D315">
        <v>166.95</v>
      </c>
      <c r="F315" s="3">
        <v>44120</v>
      </c>
      <c r="G315" s="2" t="str">
        <f t="shared" si="12"/>
        <v>October</v>
      </c>
      <c r="H315" s="2" t="str">
        <f t="shared" si="13"/>
        <v>Week 3</v>
      </c>
      <c r="I315" s="2" t="str">
        <f t="shared" si="14"/>
        <v>Quarter 4</v>
      </c>
    </row>
    <row r="316" spans="1:9" x14ac:dyDescent="0.25">
      <c r="A316">
        <v>2800061554</v>
      </c>
      <c r="B316">
        <v>271351</v>
      </c>
      <c r="C316" t="s">
        <v>18</v>
      </c>
      <c r="D316">
        <v>112.5</v>
      </c>
      <c r="E316" t="s">
        <v>19</v>
      </c>
      <c r="F316" s="3">
        <v>44120</v>
      </c>
      <c r="G316" s="2" t="str">
        <f t="shared" si="12"/>
        <v>October</v>
      </c>
      <c r="H316" s="2" t="str">
        <f t="shared" si="13"/>
        <v>Week 3</v>
      </c>
      <c r="I316" s="2" t="str">
        <f t="shared" si="14"/>
        <v>Quarter 4</v>
      </c>
    </row>
    <row r="317" spans="1:9" x14ac:dyDescent="0.25">
      <c r="A317">
        <v>2800061525</v>
      </c>
      <c r="B317">
        <v>271351</v>
      </c>
      <c r="C317" t="s">
        <v>16</v>
      </c>
      <c r="D317">
        <v>74.849999999999994</v>
      </c>
      <c r="F317" s="3">
        <v>44120</v>
      </c>
      <c r="G317" s="2" t="str">
        <f t="shared" si="12"/>
        <v>October</v>
      </c>
      <c r="H317" s="2" t="str">
        <f t="shared" si="13"/>
        <v>Week 3</v>
      </c>
      <c r="I317" s="2" t="str">
        <f t="shared" si="14"/>
        <v>Quarter 4</v>
      </c>
    </row>
    <row r="318" spans="1:9" x14ac:dyDescent="0.25">
      <c r="A318">
        <v>2800061555</v>
      </c>
      <c r="B318">
        <v>273114</v>
      </c>
      <c r="C318" t="s">
        <v>18</v>
      </c>
      <c r="D318">
        <v>437.6</v>
      </c>
      <c r="E318" t="s">
        <v>19</v>
      </c>
      <c r="F318" s="3">
        <v>44120</v>
      </c>
      <c r="G318" s="2" t="str">
        <f t="shared" si="12"/>
        <v>October</v>
      </c>
      <c r="H318" s="2" t="str">
        <f t="shared" si="13"/>
        <v>Week 3</v>
      </c>
      <c r="I318" s="2" t="str">
        <f t="shared" si="14"/>
        <v>Quarter 4</v>
      </c>
    </row>
    <row r="319" spans="1:9" x14ac:dyDescent="0.25">
      <c r="A319">
        <v>2800061516</v>
      </c>
      <c r="B319">
        <v>271351</v>
      </c>
      <c r="C319" t="s">
        <v>16</v>
      </c>
      <c r="D319">
        <v>25.6</v>
      </c>
      <c r="F319" s="3">
        <v>44120</v>
      </c>
      <c r="G319" s="2" t="str">
        <f t="shared" si="12"/>
        <v>October</v>
      </c>
      <c r="H319" s="2" t="str">
        <f t="shared" si="13"/>
        <v>Week 3</v>
      </c>
      <c r="I319" s="2" t="str">
        <f t="shared" si="14"/>
        <v>Quarter 4</v>
      </c>
    </row>
    <row r="320" spans="1:9" x14ac:dyDescent="0.25">
      <c r="A320">
        <v>2800061517</v>
      </c>
      <c r="B320">
        <v>271351</v>
      </c>
      <c r="C320" t="s">
        <v>16</v>
      </c>
      <c r="D320">
        <v>10.25</v>
      </c>
      <c r="F320" s="3">
        <v>44120</v>
      </c>
      <c r="G320" s="2" t="str">
        <f t="shared" si="12"/>
        <v>October</v>
      </c>
      <c r="H320" s="2" t="str">
        <f t="shared" si="13"/>
        <v>Week 3</v>
      </c>
      <c r="I320" s="2" t="str">
        <f t="shared" si="14"/>
        <v>Quarter 4</v>
      </c>
    </row>
    <row r="321" spans="1:9" x14ac:dyDescent="0.25">
      <c r="A321">
        <v>2800061528</v>
      </c>
      <c r="B321">
        <v>271351</v>
      </c>
      <c r="C321" t="s">
        <v>16</v>
      </c>
      <c r="D321">
        <v>53.15</v>
      </c>
      <c r="F321" s="3">
        <v>44120</v>
      </c>
      <c r="G321" s="2" t="str">
        <f t="shared" si="12"/>
        <v>October</v>
      </c>
      <c r="H321" s="2" t="str">
        <f t="shared" si="13"/>
        <v>Week 3</v>
      </c>
      <c r="I321" s="2" t="str">
        <f t="shared" si="14"/>
        <v>Quarter 4</v>
      </c>
    </row>
    <row r="322" spans="1:9" x14ac:dyDescent="0.25">
      <c r="A322">
        <v>2800061439</v>
      </c>
      <c r="B322">
        <v>271151</v>
      </c>
      <c r="C322" t="s">
        <v>16</v>
      </c>
      <c r="D322">
        <v>167.4</v>
      </c>
      <c r="F322" s="3">
        <v>44120</v>
      </c>
      <c r="G322" s="2" t="str">
        <f t="shared" si="12"/>
        <v>October</v>
      </c>
      <c r="H322" s="2" t="str">
        <f t="shared" si="13"/>
        <v>Week 3</v>
      </c>
      <c r="I322" s="2" t="str">
        <f t="shared" si="14"/>
        <v>Quarter 4</v>
      </c>
    </row>
    <row r="323" spans="1:9" x14ac:dyDescent="0.25">
      <c r="A323">
        <v>2800061515</v>
      </c>
      <c r="B323">
        <v>271151</v>
      </c>
      <c r="C323" t="s">
        <v>16</v>
      </c>
      <c r="D323">
        <v>20.5</v>
      </c>
      <c r="F323" s="3">
        <v>44120</v>
      </c>
      <c r="G323" s="2" t="str">
        <f t="shared" ref="G323:G386" si="15">TEXT(F323,"mmmm")</f>
        <v>October</v>
      </c>
      <c r="H323" s="2" t="str">
        <f t="shared" ref="H323:H386" si="16">"Week "&amp;((WEEKNUM(F323)-WEEKNUM(DATE(YEAR(F323),MONTH(F323),1))+1))</f>
        <v>Week 3</v>
      </c>
      <c r="I323" s="2" t="str">
        <f t="shared" ref="I323:I386" si="17">"Quarter " &amp; ROUNDUP((MONTH(F323))/3,0)</f>
        <v>Quarter 4</v>
      </c>
    </row>
    <row r="324" spans="1:9" x14ac:dyDescent="0.25">
      <c r="A324">
        <v>2800061521</v>
      </c>
      <c r="B324">
        <v>271351</v>
      </c>
      <c r="C324" t="s">
        <v>16</v>
      </c>
      <c r="D324">
        <v>175.3</v>
      </c>
      <c r="F324" s="3">
        <v>44120</v>
      </c>
      <c r="G324" s="2" t="str">
        <f t="shared" si="15"/>
        <v>October</v>
      </c>
      <c r="H324" s="2" t="str">
        <f t="shared" si="16"/>
        <v>Week 3</v>
      </c>
      <c r="I324" s="2" t="str">
        <f t="shared" si="17"/>
        <v>Quarter 4</v>
      </c>
    </row>
    <row r="325" spans="1:9" x14ac:dyDescent="0.25">
      <c r="A325">
        <v>2800061522</v>
      </c>
      <c r="B325">
        <v>271351</v>
      </c>
      <c r="C325" t="s">
        <v>16</v>
      </c>
      <c r="D325">
        <v>15.35</v>
      </c>
      <c r="F325" s="3">
        <v>44120</v>
      </c>
      <c r="G325" s="2" t="str">
        <f t="shared" si="15"/>
        <v>October</v>
      </c>
      <c r="H325" s="2" t="str">
        <f t="shared" si="16"/>
        <v>Week 3</v>
      </c>
      <c r="I325" s="2" t="str">
        <f t="shared" si="17"/>
        <v>Quarter 4</v>
      </c>
    </row>
    <row r="326" spans="1:9" x14ac:dyDescent="0.25">
      <c r="A326">
        <v>2800061440</v>
      </c>
      <c r="B326">
        <v>273114</v>
      </c>
      <c r="C326" t="s">
        <v>16</v>
      </c>
      <c r="D326">
        <v>415.3</v>
      </c>
      <c r="F326" s="3">
        <v>44120</v>
      </c>
      <c r="G326" s="2" t="str">
        <f t="shared" si="15"/>
        <v>October</v>
      </c>
      <c r="H326" s="2" t="str">
        <f t="shared" si="16"/>
        <v>Week 3</v>
      </c>
      <c r="I326" s="2" t="str">
        <f t="shared" si="17"/>
        <v>Quarter 4</v>
      </c>
    </row>
    <row r="327" spans="1:9" x14ac:dyDescent="0.25">
      <c r="A327">
        <v>2800061473</v>
      </c>
      <c r="B327">
        <v>271351</v>
      </c>
      <c r="C327" t="s">
        <v>16</v>
      </c>
      <c r="D327">
        <v>76.8</v>
      </c>
      <c r="F327" s="3">
        <v>44120</v>
      </c>
      <c r="G327" s="2" t="str">
        <f t="shared" si="15"/>
        <v>October</v>
      </c>
      <c r="H327" s="2" t="str">
        <f t="shared" si="16"/>
        <v>Week 3</v>
      </c>
      <c r="I327" s="2" t="str">
        <f t="shared" si="17"/>
        <v>Quarter 4</v>
      </c>
    </row>
    <row r="328" spans="1:9" x14ac:dyDescent="0.25">
      <c r="A328">
        <v>2800061470</v>
      </c>
      <c r="B328">
        <v>271151</v>
      </c>
      <c r="C328" t="s">
        <v>16</v>
      </c>
      <c r="D328">
        <v>11.2</v>
      </c>
      <c r="F328" s="3">
        <v>44120</v>
      </c>
      <c r="G328" s="2" t="str">
        <f t="shared" si="15"/>
        <v>October</v>
      </c>
      <c r="H328" s="2" t="str">
        <f t="shared" si="16"/>
        <v>Week 3</v>
      </c>
      <c r="I328" s="2" t="str">
        <f t="shared" si="17"/>
        <v>Quarter 4</v>
      </c>
    </row>
    <row r="329" spans="1:9" x14ac:dyDescent="0.25">
      <c r="A329">
        <v>2000084173</v>
      </c>
      <c r="B329" t="s">
        <v>26</v>
      </c>
      <c r="C329" t="s">
        <v>27</v>
      </c>
      <c r="D329">
        <v>15.5</v>
      </c>
      <c r="F329" s="3">
        <v>44120</v>
      </c>
      <c r="G329" s="2" t="str">
        <f t="shared" si="15"/>
        <v>October</v>
      </c>
      <c r="H329" s="2" t="str">
        <f t="shared" si="16"/>
        <v>Week 3</v>
      </c>
      <c r="I329" s="2" t="str">
        <f t="shared" si="17"/>
        <v>Quarter 4</v>
      </c>
    </row>
    <row r="330" spans="1:9" x14ac:dyDescent="0.25">
      <c r="A330">
        <v>2000084045</v>
      </c>
      <c r="B330" t="s">
        <v>26</v>
      </c>
      <c r="C330" t="s">
        <v>17</v>
      </c>
      <c r="D330">
        <v>77.900000000000006</v>
      </c>
      <c r="F330" s="3">
        <v>44120</v>
      </c>
      <c r="G330" s="2" t="str">
        <f t="shared" si="15"/>
        <v>October</v>
      </c>
      <c r="H330" s="2" t="str">
        <f t="shared" si="16"/>
        <v>Week 3</v>
      </c>
      <c r="I330" s="2" t="str">
        <f t="shared" si="17"/>
        <v>Quarter 4</v>
      </c>
    </row>
    <row r="331" spans="1:9" x14ac:dyDescent="0.25">
      <c r="A331">
        <v>2000083964</v>
      </c>
      <c r="B331" t="s">
        <v>26</v>
      </c>
      <c r="C331" t="s">
        <v>11</v>
      </c>
      <c r="D331">
        <v>1981.95</v>
      </c>
      <c r="F331" s="3">
        <v>44120</v>
      </c>
      <c r="G331" s="2" t="str">
        <f t="shared" si="15"/>
        <v>October</v>
      </c>
      <c r="H331" s="2" t="str">
        <f t="shared" si="16"/>
        <v>Week 3</v>
      </c>
      <c r="I331" s="2" t="str">
        <f t="shared" si="17"/>
        <v>Quarter 4</v>
      </c>
    </row>
    <row r="332" spans="1:9" x14ac:dyDescent="0.25">
      <c r="A332">
        <v>2000084175</v>
      </c>
      <c r="B332" t="s">
        <v>26</v>
      </c>
      <c r="C332" t="s">
        <v>27</v>
      </c>
      <c r="D332">
        <v>27.55</v>
      </c>
      <c r="F332" s="3">
        <v>44120</v>
      </c>
      <c r="G332" s="2" t="str">
        <f t="shared" si="15"/>
        <v>October</v>
      </c>
      <c r="H332" s="2" t="str">
        <f t="shared" si="16"/>
        <v>Week 3</v>
      </c>
      <c r="I332" s="2" t="str">
        <f t="shared" si="17"/>
        <v>Quarter 4</v>
      </c>
    </row>
    <row r="333" spans="1:9" x14ac:dyDescent="0.25">
      <c r="A333">
        <v>2000083979</v>
      </c>
      <c r="B333" t="s">
        <v>26</v>
      </c>
      <c r="C333" t="s">
        <v>11</v>
      </c>
      <c r="D333">
        <v>2613.0500000000002</v>
      </c>
      <c r="F333" s="3">
        <v>44120</v>
      </c>
      <c r="G333" s="2" t="str">
        <f t="shared" si="15"/>
        <v>October</v>
      </c>
      <c r="H333" s="2" t="str">
        <f t="shared" si="16"/>
        <v>Week 3</v>
      </c>
      <c r="I333" s="2" t="str">
        <f t="shared" si="17"/>
        <v>Quarter 4</v>
      </c>
    </row>
    <row r="334" spans="1:9" x14ac:dyDescent="0.25">
      <c r="A334">
        <v>2000084103</v>
      </c>
      <c r="B334" t="s">
        <v>26</v>
      </c>
      <c r="C334" t="s">
        <v>11</v>
      </c>
      <c r="D334">
        <v>264.7</v>
      </c>
      <c r="F334" s="3">
        <v>44120</v>
      </c>
      <c r="G334" s="2" t="str">
        <f t="shared" si="15"/>
        <v>October</v>
      </c>
      <c r="H334" s="2" t="str">
        <f t="shared" si="16"/>
        <v>Week 3</v>
      </c>
      <c r="I334" s="2" t="str">
        <f t="shared" si="17"/>
        <v>Quarter 4</v>
      </c>
    </row>
    <row r="335" spans="1:9" x14ac:dyDescent="0.25">
      <c r="A335">
        <v>2000083996</v>
      </c>
      <c r="B335" t="s">
        <v>26</v>
      </c>
      <c r="C335" t="s">
        <v>11</v>
      </c>
      <c r="D335">
        <v>813.45</v>
      </c>
      <c r="F335" s="3">
        <v>44120</v>
      </c>
      <c r="G335" s="2" t="str">
        <f t="shared" si="15"/>
        <v>October</v>
      </c>
      <c r="H335" s="2" t="str">
        <f t="shared" si="16"/>
        <v>Week 3</v>
      </c>
      <c r="I335" s="2" t="str">
        <f t="shared" si="17"/>
        <v>Quarter 4</v>
      </c>
    </row>
    <row r="336" spans="1:9" x14ac:dyDescent="0.25">
      <c r="A336">
        <v>2000084113</v>
      </c>
      <c r="B336" t="s">
        <v>26</v>
      </c>
      <c r="C336" t="s">
        <v>17</v>
      </c>
      <c r="D336">
        <v>189.19</v>
      </c>
      <c r="F336" s="3">
        <v>44120</v>
      </c>
      <c r="G336" s="2" t="str">
        <f t="shared" si="15"/>
        <v>October</v>
      </c>
      <c r="H336" s="2" t="str">
        <f t="shared" si="16"/>
        <v>Week 3</v>
      </c>
      <c r="I336" s="2" t="str">
        <f t="shared" si="17"/>
        <v>Quarter 4</v>
      </c>
    </row>
    <row r="337" spans="1:9" x14ac:dyDescent="0.25">
      <c r="A337">
        <v>2000083965</v>
      </c>
      <c r="B337" t="s">
        <v>26</v>
      </c>
      <c r="C337" t="s">
        <v>11</v>
      </c>
      <c r="D337">
        <v>1863.6</v>
      </c>
      <c r="F337" s="3">
        <v>44120</v>
      </c>
      <c r="G337" s="2" t="str">
        <f t="shared" si="15"/>
        <v>October</v>
      </c>
      <c r="H337" s="2" t="str">
        <f t="shared" si="16"/>
        <v>Week 3</v>
      </c>
      <c r="I337" s="2" t="str">
        <f t="shared" si="17"/>
        <v>Quarter 4</v>
      </c>
    </row>
    <row r="338" spans="1:9" x14ac:dyDescent="0.25">
      <c r="A338">
        <v>2000084179</v>
      </c>
      <c r="B338" t="s">
        <v>26</v>
      </c>
      <c r="C338" t="s">
        <v>27</v>
      </c>
      <c r="D338">
        <v>31.85</v>
      </c>
      <c r="F338" s="3">
        <v>44120</v>
      </c>
      <c r="G338" s="2" t="str">
        <f t="shared" si="15"/>
        <v>October</v>
      </c>
      <c r="H338" s="2" t="str">
        <f t="shared" si="16"/>
        <v>Week 3</v>
      </c>
      <c r="I338" s="2" t="str">
        <f t="shared" si="17"/>
        <v>Quarter 4</v>
      </c>
    </row>
    <row r="339" spans="1:9" x14ac:dyDescent="0.25">
      <c r="A339">
        <v>2000084014</v>
      </c>
      <c r="B339" t="s">
        <v>26</v>
      </c>
      <c r="C339" t="s">
        <v>17</v>
      </c>
      <c r="D339">
        <v>63.6</v>
      </c>
      <c r="F339" s="3">
        <v>44120</v>
      </c>
      <c r="G339" s="2" t="str">
        <f t="shared" si="15"/>
        <v>October</v>
      </c>
      <c r="H339" s="2" t="str">
        <f t="shared" si="16"/>
        <v>Week 3</v>
      </c>
      <c r="I339" s="2" t="str">
        <f t="shared" si="17"/>
        <v>Quarter 4</v>
      </c>
    </row>
    <row r="340" spans="1:9" x14ac:dyDescent="0.25">
      <c r="A340">
        <v>2000084012</v>
      </c>
      <c r="B340" t="s">
        <v>26</v>
      </c>
      <c r="C340" t="s">
        <v>11</v>
      </c>
      <c r="D340">
        <v>548.85</v>
      </c>
      <c r="F340" s="3">
        <v>44120</v>
      </c>
      <c r="G340" s="2" t="str">
        <f t="shared" si="15"/>
        <v>October</v>
      </c>
      <c r="H340" s="2" t="str">
        <f t="shared" si="16"/>
        <v>Week 3</v>
      </c>
      <c r="I340" s="2" t="str">
        <f t="shared" si="17"/>
        <v>Quarter 4</v>
      </c>
    </row>
    <row r="341" spans="1:9" x14ac:dyDescent="0.25">
      <c r="A341">
        <v>2000084132</v>
      </c>
      <c r="B341" t="s">
        <v>26</v>
      </c>
      <c r="C341" t="s">
        <v>11</v>
      </c>
      <c r="D341">
        <v>232.3</v>
      </c>
      <c r="F341" s="3">
        <v>44120</v>
      </c>
      <c r="G341" s="2" t="str">
        <f t="shared" si="15"/>
        <v>October</v>
      </c>
      <c r="H341" s="2" t="str">
        <f t="shared" si="16"/>
        <v>Week 3</v>
      </c>
      <c r="I341" s="2" t="str">
        <f t="shared" si="17"/>
        <v>Quarter 4</v>
      </c>
    </row>
    <row r="342" spans="1:9" x14ac:dyDescent="0.25">
      <c r="A342">
        <v>2000084180</v>
      </c>
      <c r="B342" t="s">
        <v>26</v>
      </c>
      <c r="C342" t="s">
        <v>27</v>
      </c>
      <c r="D342">
        <v>47.2</v>
      </c>
      <c r="F342" s="3">
        <v>44120</v>
      </c>
      <c r="G342" s="2" t="str">
        <f t="shared" si="15"/>
        <v>October</v>
      </c>
      <c r="H342" s="2" t="str">
        <f t="shared" si="16"/>
        <v>Week 3</v>
      </c>
      <c r="I342" s="2" t="str">
        <f t="shared" si="17"/>
        <v>Quarter 4</v>
      </c>
    </row>
    <row r="343" spans="1:9" x14ac:dyDescent="0.25">
      <c r="A343">
        <v>2000083952</v>
      </c>
      <c r="B343" t="s">
        <v>26</v>
      </c>
      <c r="C343" t="s">
        <v>17</v>
      </c>
      <c r="D343">
        <v>113.65</v>
      </c>
      <c r="F343" s="3">
        <v>44120</v>
      </c>
      <c r="G343" s="2" t="str">
        <f t="shared" si="15"/>
        <v>October</v>
      </c>
      <c r="H343" s="2" t="str">
        <f t="shared" si="16"/>
        <v>Week 3</v>
      </c>
      <c r="I343" s="2" t="str">
        <f t="shared" si="17"/>
        <v>Quarter 4</v>
      </c>
    </row>
    <row r="344" spans="1:9" x14ac:dyDescent="0.25">
      <c r="A344">
        <v>2000084181</v>
      </c>
      <c r="B344" t="s">
        <v>26</v>
      </c>
      <c r="C344" t="s">
        <v>27</v>
      </c>
      <c r="D344">
        <v>27.2</v>
      </c>
      <c r="F344" s="3">
        <v>44120</v>
      </c>
      <c r="G344" s="2" t="str">
        <f t="shared" si="15"/>
        <v>October</v>
      </c>
      <c r="H344" s="2" t="str">
        <f t="shared" si="16"/>
        <v>Week 3</v>
      </c>
      <c r="I344" s="2" t="str">
        <f t="shared" si="17"/>
        <v>Quarter 4</v>
      </c>
    </row>
    <row r="345" spans="1:9" x14ac:dyDescent="0.25">
      <c r="A345">
        <v>2000084020</v>
      </c>
      <c r="B345" t="s">
        <v>26</v>
      </c>
      <c r="C345" t="s">
        <v>17</v>
      </c>
      <c r="D345">
        <v>65.25</v>
      </c>
      <c r="F345" s="3">
        <v>44120</v>
      </c>
      <c r="G345" s="2" t="str">
        <f t="shared" si="15"/>
        <v>October</v>
      </c>
      <c r="H345" s="2" t="str">
        <f t="shared" si="16"/>
        <v>Week 3</v>
      </c>
      <c r="I345" s="2" t="str">
        <f t="shared" si="17"/>
        <v>Quarter 4</v>
      </c>
    </row>
    <row r="346" spans="1:9" x14ac:dyDescent="0.25">
      <c r="A346">
        <v>2000084105</v>
      </c>
      <c r="B346" t="s">
        <v>26</v>
      </c>
      <c r="C346" t="s">
        <v>11</v>
      </c>
      <c r="D346">
        <v>259.60000000000002</v>
      </c>
      <c r="F346" s="3">
        <v>44120</v>
      </c>
      <c r="G346" s="2" t="str">
        <f t="shared" si="15"/>
        <v>October</v>
      </c>
      <c r="H346" s="2" t="str">
        <f t="shared" si="16"/>
        <v>Week 3</v>
      </c>
      <c r="I346" s="2" t="str">
        <f t="shared" si="17"/>
        <v>Quarter 4</v>
      </c>
    </row>
    <row r="347" spans="1:9" x14ac:dyDescent="0.25">
      <c r="A347">
        <v>2000084167</v>
      </c>
      <c r="B347" t="s">
        <v>26</v>
      </c>
      <c r="C347" t="s">
        <v>15</v>
      </c>
      <c r="D347">
        <v>725.2</v>
      </c>
      <c r="F347" s="3">
        <v>44120</v>
      </c>
      <c r="G347" s="2" t="str">
        <f t="shared" si="15"/>
        <v>October</v>
      </c>
      <c r="H347" s="2" t="str">
        <f t="shared" si="16"/>
        <v>Week 3</v>
      </c>
      <c r="I347" s="2" t="str">
        <f t="shared" si="17"/>
        <v>Quarter 4</v>
      </c>
    </row>
    <row r="348" spans="1:9" x14ac:dyDescent="0.25">
      <c r="A348">
        <v>2000084174</v>
      </c>
      <c r="B348" t="s">
        <v>26</v>
      </c>
      <c r="C348" t="s">
        <v>15</v>
      </c>
      <c r="D348">
        <v>52.2</v>
      </c>
      <c r="F348" s="3">
        <v>44120</v>
      </c>
      <c r="G348" s="2" t="str">
        <f t="shared" si="15"/>
        <v>October</v>
      </c>
      <c r="H348" s="2" t="str">
        <f t="shared" si="16"/>
        <v>Week 3</v>
      </c>
      <c r="I348" s="2" t="str">
        <f t="shared" si="17"/>
        <v>Quarter 4</v>
      </c>
    </row>
    <row r="349" spans="1:9" x14ac:dyDescent="0.25">
      <c r="A349">
        <v>2000084116</v>
      </c>
      <c r="B349" t="s">
        <v>26</v>
      </c>
      <c r="C349" t="s">
        <v>25</v>
      </c>
      <c r="D349">
        <v>26.4</v>
      </c>
      <c r="F349" s="3">
        <v>44120</v>
      </c>
      <c r="G349" s="2" t="str">
        <f t="shared" si="15"/>
        <v>October</v>
      </c>
      <c r="H349" s="2" t="str">
        <f t="shared" si="16"/>
        <v>Week 3</v>
      </c>
      <c r="I349" s="2" t="str">
        <f t="shared" si="17"/>
        <v>Quarter 4</v>
      </c>
    </row>
    <row r="350" spans="1:9" x14ac:dyDescent="0.25">
      <c r="A350">
        <v>2000084104</v>
      </c>
      <c r="B350" t="s">
        <v>26</v>
      </c>
      <c r="C350" t="s">
        <v>11</v>
      </c>
      <c r="D350">
        <v>262.14999999999998</v>
      </c>
      <c r="F350" s="3">
        <v>44120</v>
      </c>
      <c r="G350" s="2" t="str">
        <f t="shared" si="15"/>
        <v>October</v>
      </c>
      <c r="H350" s="2" t="str">
        <f t="shared" si="16"/>
        <v>Week 3</v>
      </c>
      <c r="I350" s="2" t="str">
        <f t="shared" si="17"/>
        <v>Quarter 4</v>
      </c>
    </row>
    <row r="351" spans="1:9" x14ac:dyDescent="0.25">
      <c r="A351">
        <v>2000084111</v>
      </c>
      <c r="B351" t="s">
        <v>26</v>
      </c>
      <c r="C351" t="s">
        <v>11</v>
      </c>
      <c r="D351">
        <v>236.5</v>
      </c>
      <c r="F351" s="3">
        <v>44120</v>
      </c>
      <c r="G351" s="2" t="str">
        <f t="shared" si="15"/>
        <v>October</v>
      </c>
      <c r="H351" s="2" t="str">
        <f t="shared" si="16"/>
        <v>Week 3</v>
      </c>
      <c r="I351" s="2" t="str">
        <f t="shared" si="17"/>
        <v>Quarter 4</v>
      </c>
    </row>
    <row r="352" spans="1:9" x14ac:dyDescent="0.25">
      <c r="A352">
        <v>2000084182</v>
      </c>
      <c r="B352" t="s">
        <v>26</v>
      </c>
      <c r="C352" t="s">
        <v>27</v>
      </c>
      <c r="D352">
        <v>15.1</v>
      </c>
      <c r="F352" s="3">
        <v>44120</v>
      </c>
      <c r="G352" s="2" t="str">
        <f t="shared" si="15"/>
        <v>October</v>
      </c>
      <c r="H352" s="2" t="str">
        <f t="shared" si="16"/>
        <v>Week 3</v>
      </c>
      <c r="I352" s="2" t="str">
        <f t="shared" si="17"/>
        <v>Quarter 4</v>
      </c>
    </row>
    <row r="353" spans="1:9" x14ac:dyDescent="0.25">
      <c r="A353">
        <v>2000084183</v>
      </c>
      <c r="B353" t="s">
        <v>26</v>
      </c>
      <c r="C353" t="s">
        <v>27</v>
      </c>
      <c r="D353">
        <v>23.45</v>
      </c>
      <c r="F353" s="3">
        <v>44120</v>
      </c>
      <c r="G353" s="2" t="str">
        <f t="shared" si="15"/>
        <v>October</v>
      </c>
      <c r="H353" s="2" t="str">
        <f t="shared" si="16"/>
        <v>Week 3</v>
      </c>
      <c r="I353" s="2" t="str">
        <f t="shared" si="17"/>
        <v>Quarter 4</v>
      </c>
    </row>
    <row r="354" spans="1:9" x14ac:dyDescent="0.25">
      <c r="A354">
        <v>2000084184</v>
      </c>
      <c r="B354" t="s">
        <v>26</v>
      </c>
      <c r="C354" t="s">
        <v>27</v>
      </c>
      <c r="D354">
        <v>37.299999999999997</v>
      </c>
      <c r="F354" s="3">
        <v>44120</v>
      </c>
      <c r="G354" s="2" t="str">
        <f t="shared" si="15"/>
        <v>October</v>
      </c>
      <c r="H354" s="2" t="str">
        <f t="shared" si="16"/>
        <v>Week 3</v>
      </c>
      <c r="I354" s="2" t="str">
        <f t="shared" si="17"/>
        <v>Quarter 4</v>
      </c>
    </row>
    <row r="355" spans="1:9" x14ac:dyDescent="0.25">
      <c r="A355">
        <v>2000083999</v>
      </c>
      <c r="B355" t="s">
        <v>26</v>
      </c>
      <c r="C355" t="s">
        <v>11</v>
      </c>
      <c r="D355">
        <v>800.9</v>
      </c>
      <c r="F355" s="3">
        <v>44120</v>
      </c>
      <c r="G355" s="2" t="str">
        <f t="shared" si="15"/>
        <v>October</v>
      </c>
      <c r="H355" s="2" t="str">
        <f t="shared" si="16"/>
        <v>Week 3</v>
      </c>
      <c r="I355" s="2" t="str">
        <f t="shared" si="17"/>
        <v>Quarter 4</v>
      </c>
    </row>
    <row r="356" spans="1:9" x14ac:dyDescent="0.25">
      <c r="A356">
        <v>2000084185</v>
      </c>
      <c r="B356" t="s">
        <v>26</v>
      </c>
      <c r="C356" t="s">
        <v>27</v>
      </c>
      <c r="D356">
        <v>8.9499999999999993</v>
      </c>
      <c r="F356" s="3">
        <v>44120</v>
      </c>
      <c r="G356" s="2" t="str">
        <f t="shared" si="15"/>
        <v>October</v>
      </c>
      <c r="H356" s="2" t="str">
        <f t="shared" si="16"/>
        <v>Week 3</v>
      </c>
      <c r="I356" s="2" t="str">
        <f t="shared" si="17"/>
        <v>Quarter 4</v>
      </c>
    </row>
    <row r="357" spans="1:9" x14ac:dyDescent="0.25">
      <c r="A357">
        <v>2000084160</v>
      </c>
      <c r="B357" t="s">
        <v>26</v>
      </c>
      <c r="C357" t="s">
        <v>15</v>
      </c>
      <c r="D357">
        <v>16.850000000000001</v>
      </c>
      <c r="F357" s="3">
        <v>44120</v>
      </c>
      <c r="G357" s="2" t="str">
        <f t="shared" si="15"/>
        <v>October</v>
      </c>
      <c r="H357" s="2" t="str">
        <f t="shared" si="16"/>
        <v>Week 3</v>
      </c>
      <c r="I357" s="2" t="str">
        <f t="shared" si="17"/>
        <v>Quarter 4</v>
      </c>
    </row>
    <row r="358" spans="1:9" x14ac:dyDescent="0.25">
      <c r="A358">
        <v>2000084162</v>
      </c>
      <c r="B358" t="s">
        <v>26</v>
      </c>
      <c r="C358" t="s">
        <v>15</v>
      </c>
      <c r="D358">
        <v>33.799999999999997</v>
      </c>
      <c r="F358" s="3">
        <v>44120</v>
      </c>
      <c r="G358" s="2" t="str">
        <f t="shared" si="15"/>
        <v>October</v>
      </c>
      <c r="H358" s="2" t="str">
        <f t="shared" si="16"/>
        <v>Week 3</v>
      </c>
      <c r="I358" s="2" t="str">
        <f t="shared" si="17"/>
        <v>Quarter 4</v>
      </c>
    </row>
    <row r="359" spans="1:9" x14ac:dyDescent="0.25">
      <c r="A359">
        <v>2000084186</v>
      </c>
      <c r="B359" t="s">
        <v>26</v>
      </c>
      <c r="C359" t="s">
        <v>27</v>
      </c>
      <c r="D359">
        <v>38.950000000000003</v>
      </c>
      <c r="F359" s="3">
        <v>44120</v>
      </c>
      <c r="G359" s="2" t="str">
        <f t="shared" si="15"/>
        <v>October</v>
      </c>
      <c r="H359" s="2" t="str">
        <f t="shared" si="16"/>
        <v>Week 3</v>
      </c>
      <c r="I359" s="2" t="str">
        <f t="shared" si="17"/>
        <v>Quarter 4</v>
      </c>
    </row>
    <row r="360" spans="1:9" x14ac:dyDescent="0.25">
      <c r="A360">
        <v>2000084187</v>
      </c>
      <c r="B360" t="s">
        <v>26</v>
      </c>
      <c r="C360" t="s">
        <v>27</v>
      </c>
      <c r="D360">
        <v>11.25</v>
      </c>
      <c r="F360" s="3">
        <v>44120</v>
      </c>
      <c r="G360" s="2" t="str">
        <f t="shared" si="15"/>
        <v>October</v>
      </c>
      <c r="H360" s="2" t="str">
        <f t="shared" si="16"/>
        <v>Week 3</v>
      </c>
      <c r="I360" s="2" t="str">
        <f t="shared" si="17"/>
        <v>Quarter 4</v>
      </c>
    </row>
    <row r="361" spans="1:9" x14ac:dyDescent="0.25">
      <c r="A361">
        <v>2000084188</v>
      </c>
      <c r="B361" t="s">
        <v>26</v>
      </c>
      <c r="C361" t="s">
        <v>27</v>
      </c>
      <c r="D361">
        <v>27.09</v>
      </c>
      <c r="F361" s="3">
        <v>44120</v>
      </c>
      <c r="G361" s="2" t="str">
        <f t="shared" si="15"/>
        <v>October</v>
      </c>
      <c r="H361" s="2" t="str">
        <f t="shared" si="16"/>
        <v>Week 3</v>
      </c>
      <c r="I361" s="2" t="str">
        <f t="shared" si="17"/>
        <v>Quarter 4</v>
      </c>
    </row>
    <row r="362" spans="1:9" x14ac:dyDescent="0.25">
      <c r="A362">
        <v>2000083956</v>
      </c>
      <c r="B362" t="s">
        <v>26</v>
      </c>
      <c r="C362" t="s">
        <v>17</v>
      </c>
      <c r="D362">
        <v>124.95</v>
      </c>
      <c r="F362" s="3">
        <v>44120</v>
      </c>
      <c r="G362" s="2" t="str">
        <f t="shared" si="15"/>
        <v>October</v>
      </c>
      <c r="H362" s="2" t="str">
        <f t="shared" si="16"/>
        <v>Week 3</v>
      </c>
      <c r="I362" s="2" t="str">
        <f t="shared" si="17"/>
        <v>Quarter 4</v>
      </c>
    </row>
    <row r="363" spans="1:9" x14ac:dyDescent="0.25">
      <c r="A363">
        <v>2000084189</v>
      </c>
      <c r="B363" t="s">
        <v>26</v>
      </c>
      <c r="C363" t="s">
        <v>27</v>
      </c>
      <c r="D363">
        <v>19.5</v>
      </c>
      <c r="F363" s="3">
        <v>44120</v>
      </c>
      <c r="G363" s="2" t="str">
        <f t="shared" si="15"/>
        <v>October</v>
      </c>
      <c r="H363" s="2" t="str">
        <f t="shared" si="16"/>
        <v>Week 3</v>
      </c>
      <c r="I363" s="2" t="str">
        <f t="shared" si="17"/>
        <v>Quarter 4</v>
      </c>
    </row>
    <row r="364" spans="1:9" x14ac:dyDescent="0.25">
      <c r="A364">
        <v>2000084144</v>
      </c>
      <c r="B364" t="s">
        <v>26</v>
      </c>
      <c r="C364" t="s">
        <v>25</v>
      </c>
      <c r="D364">
        <v>32.049999999999997</v>
      </c>
      <c r="F364" s="3">
        <v>44120</v>
      </c>
      <c r="G364" s="2" t="str">
        <f t="shared" si="15"/>
        <v>October</v>
      </c>
      <c r="H364" s="2" t="str">
        <f t="shared" si="16"/>
        <v>Week 3</v>
      </c>
      <c r="I364" s="2" t="str">
        <f t="shared" si="17"/>
        <v>Quarter 4</v>
      </c>
    </row>
    <row r="365" spans="1:9" x14ac:dyDescent="0.25">
      <c r="A365">
        <v>2000084117</v>
      </c>
      <c r="B365" t="s">
        <v>26</v>
      </c>
      <c r="C365" t="s">
        <v>25</v>
      </c>
      <c r="D365">
        <v>33.65</v>
      </c>
      <c r="F365" s="3">
        <v>44120</v>
      </c>
      <c r="G365" s="2" t="str">
        <f t="shared" si="15"/>
        <v>October</v>
      </c>
      <c r="H365" s="2" t="str">
        <f t="shared" si="16"/>
        <v>Week 3</v>
      </c>
      <c r="I365" s="2" t="str">
        <f t="shared" si="17"/>
        <v>Quarter 4</v>
      </c>
    </row>
    <row r="366" spans="1:9" x14ac:dyDescent="0.25">
      <c r="A366">
        <v>2000084054</v>
      </c>
      <c r="B366" t="s">
        <v>26</v>
      </c>
      <c r="C366" t="s">
        <v>17</v>
      </c>
      <c r="D366">
        <v>86</v>
      </c>
      <c r="F366" s="3">
        <v>44120</v>
      </c>
      <c r="G366" s="2" t="str">
        <f t="shared" si="15"/>
        <v>October</v>
      </c>
      <c r="H366" s="2" t="str">
        <f t="shared" si="16"/>
        <v>Week 3</v>
      </c>
      <c r="I366" s="2" t="str">
        <f t="shared" si="17"/>
        <v>Quarter 4</v>
      </c>
    </row>
    <row r="367" spans="1:9" x14ac:dyDescent="0.25">
      <c r="A367">
        <v>2000084137</v>
      </c>
      <c r="B367" t="s">
        <v>26</v>
      </c>
      <c r="C367" t="s">
        <v>17</v>
      </c>
      <c r="D367">
        <v>228.35</v>
      </c>
      <c r="F367" s="3">
        <v>44120</v>
      </c>
      <c r="G367" s="2" t="str">
        <f t="shared" si="15"/>
        <v>October</v>
      </c>
      <c r="H367" s="2" t="str">
        <f t="shared" si="16"/>
        <v>Week 3</v>
      </c>
      <c r="I367" s="2" t="str">
        <f t="shared" si="17"/>
        <v>Quarter 4</v>
      </c>
    </row>
    <row r="368" spans="1:9" x14ac:dyDescent="0.25">
      <c r="A368">
        <v>2000084011</v>
      </c>
      <c r="B368" t="s">
        <v>26</v>
      </c>
      <c r="C368" t="s">
        <v>11</v>
      </c>
      <c r="D368">
        <v>553.95000000000005</v>
      </c>
      <c r="F368" s="3">
        <v>44120</v>
      </c>
      <c r="G368" s="2" t="str">
        <f t="shared" si="15"/>
        <v>October</v>
      </c>
      <c r="H368" s="2" t="str">
        <f t="shared" si="16"/>
        <v>Week 3</v>
      </c>
      <c r="I368" s="2" t="str">
        <f t="shared" si="17"/>
        <v>Quarter 4</v>
      </c>
    </row>
    <row r="369" spans="1:9" x14ac:dyDescent="0.25">
      <c r="A369">
        <v>2000083992</v>
      </c>
      <c r="B369" t="s">
        <v>26</v>
      </c>
      <c r="C369" t="s">
        <v>11</v>
      </c>
      <c r="D369">
        <v>972.25</v>
      </c>
      <c r="F369" s="3">
        <v>44120</v>
      </c>
      <c r="G369" s="2" t="str">
        <f t="shared" si="15"/>
        <v>October</v>
      </c>
      <c r="H369" s="2" t="str">
        <f t="shared" si="16"/>
        <v>Week 3</v>
      </c>
      <c r="I369" s="2" t="str">
        <f t="shared" si="17"/>
        <v>Quarter 4</v>
      </c>
    </row>
    <row r="370" spans="1:9" x14ac:dyDescent="0.25">
      <c r="A370">
        <v>2000084059</v>
      </c>
      <c r="B370" t="s">
        <v>26</v>
      </c>
      <c r="C370" t="s">
        <v>17</v>
      </c>
      <c r="D370">
        <v>96.15</v>
      </c>
      <c r="F370" s="3">
        <v>44120</v>
      </c>
      <c r="G370" s="2" t="str">
        <f t="shared" si="15"/>
        <v>October</v>
      </c>
      <c r="H370" s="2" t="str">
        <f t="shared" si="16"/>
        <v>Week 3</v>
      </c>
      <c r="I370" s="2" t="str">
        <f t="shared" si="17"/>
        <v>Quarter 4</v>
      </c>
    </row>
    <row r="371" spans="1:9" x14ac:dyDescent="0.25">
      <c r="A371">
        <v>2000084059</v>
      </c>
      <c r="B371" t="s">
        <v>26</v>
      </c>
      <c r="C371" t="s">
        <v>17</v>
      </c>
      <c r="D371">
        <v>37.200000000000003</v>
      </c>
      <c r="F371" s="3">
        <v>44120</v>
      </c>
      <c r="G371" s="2" t="str">
        <f t="shared" si="15"/>
        <v>October</v>
      </c>
      <c r="H371" s="2" t="str">
        <f t="shared" si="16"/>
        <v>Week 3</v>
      </c>
      <c r="I371" s="2" t="str">
        <f t="shared" si="17"/>
        <v>Quarter 4</v>
      </c>
    </row>
    <row r="372" spans="1:9" x14ac:dyDescent="0.25">
      <c r="A372">
        <v>2000084190</v>
      </c>
      <c r="B372" t="s">
        <v>26</v>
      </c>
      <c r="C372" t="s">
        <v>27</v>
      </c>
      <c r="D372">
        <v>16.55</v>
      </c>
      <c r="F372" s="3">
        <v>44120</v>
      </c>
      <c r="G372" s="2" t="str">
        <f t="shared" si="15"/>
        <v>October</v>
      </c>
      <c r="H372" s="2" t="str">
        <f t="shared" si="16"/>
        <v>Week 3</v>
      </c>
      <c r="I372" s="2" t="str">
        <f t="shared" si="17"/>
        <v>Quarter 4</v>
      </c>
    </row>
    <row r="373" spans="1:9" x14ac:dyDescent="0.25">
      <c r="A373">
        <v>2000083985</v>
      </c>
      <c r="B373" t="s">
        <v>26</v>
      </c>
      <c r="C373" t="s">
        <v>15</v>
      </c>
      <c r="D373">
        <v>29.85</v>
      </c>
      <c r="F373" s="3">
        <v>44120</v>
      </c>
      <c r="G373" s="2" t="str">
        <f t="shared" si="15"/>
        <v>October</v>
      </c>
      <c r="H373" s="2" t="str">
        <f t="shared" si="16"/>
        <v>Week 3</v>
      </c>
      <c r="I373" s="2" t="str">
        <f t="shared" si="17"/>
        <v>Quarter 4</v>
      </c>
    </row>
    <row r="374" spans="1:9" x14ac:dyDescent="0.25">
      <c r="A374">
        <v>2000084191</v>
      </c>
      <c r="B374" t="s">
        <v>26</v>
      </c>
      <c r="C374" t="s">
        <v>27</v>
      </c>
      <c r="D374">
        <v>31.2</v>
      </c>
      <c r="F374" s="3">
        <v>44120</v>
      </c>
      <c r="G374" s="2" t="str">
        <f t="shared" si="15"/>
        <v>October</v>
      </c>
      <c r="H374" s="2" t="str">
        <f t="shared" si="16"/>
        <v>Week 3</v>
      </c>
      <c r="I374" s="2" t="str">
        <f t="shared" si="17"/>
        <v>Quarter 4</v>
      </c>
    </row>
    <row r="375" spans="1:9" x14ac:dyDescent="0.25">
      <c r="A375">
        <v>2000084051</v>
      </c>
      <c r="B375" t="s">
        <v>26</v>
      </c>
      <c r="C375" t="s">
        <v>11</v>
      </c>
      <c r="D375">
        <v>356.3</v>
      </c>
      <c r="F375" s="3">
        <v>44120</v>
      </c>
      <c r="G375" s="2" t="str">
        <f t="shared" si="15"/>
        <v>October</v>
      </c>
      <c r="H375" s="2" t="str">
        <f t="shared" si="16"/>
        <v>Week 3</v>
      </c>
      <c r="I375" s="2" t="str">
        <f t="shared" si="17"/>
        <v>Quarter 4</v>
      </c>
    </row>
    <row r="376" spans="1:9" x14ac:dyDescent="0.25">
      <c r="A376">
        <v>2000084013</v>
      </c>
      <c r="B376" t="s">
        <v>26</v>
      </c>
      <c r="C376" t="s">
        <v>11</v>
      </c>
      <c r="D376">
        <v>546.20000000000005</v>
      </c>
      <c r="F376" s="3">
        <v>44120</v>
      </c>
      <c r="G376" s="2" t="str">
        <f t="shared" si="15"/>
        <v>October</v>
      </c>
      <c r="H376" s="2" t="str">
        <f t="shared" si="16"/>
        <v>Week 3</v>
      </c>
      <c r="I376" s="2" t="str">
        <f t="shared" si="17"/>
        <v>Quarter 4</v>
      </c>
    </row>
    <row r="377" spans="1:9" x14ac:dyDescent="0.25">
      <c r="A377">
        <v>2000083957</v>
      </c>
      <c r="B377" t="s">
        <v>26</v>
      </c>
      <c r="C377" t="s">
        <v>17</v>
      </c>
      <c r="D377">
        <v>126.45</v>
      </c>
      <c r="F377" s="3">
        <v>44120</v>
      </c>
      <c r="G377" s="2" t="str">
        <f t="shared" si="15"/>
        <v>October</v>
      </c>
      <c r="H377" s="2" t="str">
        <f t="shared" si="16"/>
        <v>Week 3</v>
      </c>
      <c r="I377" s="2" t="str">
        <f t="shared" si="17"/>
        <v>Quarter 4</v>
      </c>
    </row>
    <row r="378" spans="1:9" x14ac:dyDescent="0.25">
      <c r="A378">
        <v>2000084000</v>
      </c>
      <c r="B378" t="s">
        <v>26</v>
      </c>
      <c r="C378" t="s">
        <v>11</v>
      </c>
      <c r="D378">
        <v>752.55</v>
      </c>
      <c r="F378" s="3">
        <v>44120</v>
      </c>
      <c r="G378" s="2" t="str">
        <f t="shared" si="15"/>
        <v>October</v>
      </c>
      <c r="H378" s="2" t="str">
        <f t="shared" si="16"/>
        <v>Week 3</v>
      </c>
      <c r="I378" s="2" t="str">
        <f t="shared" si="17"/>
        <v>Quarter 4</v>
      </c>
    </row>
    <row r="379" spans="1:9" x14ac:dyDescent="0.25">
      <c r="A379">
        <v>2000084086</v>
      </c>
      <c r="B379" t="s">
        <v>26</v>
      </c>
      <c r="C379" t="s">
        <v>17</v>
      </c>
      <c r="D379">
        <v>172.55</v>
      </c>
      <c r="F379" s="3">
        <v>44120</v>
      </c>
      <c r="G379" s="2" t="str">
        <f t="shared" si="15"/>
        <v>October</v>
      </c>
      <c r="H379" s="2" t="str">
        <f t="shared" si="16"/>
        <v>Week 3</v>
      </c>
      <c r="I379" s="2" t="str">
        <f t="shared" si="17"/>
        <v>Quarter 4</v>
      </c>
    </row>
    <row r="380" spans="1:9" x14ac:dyDescent="0.25">
      <c r="A380">
        <v>2000084030</v>
      </c>
      <c r="B380" t="s">
        <v>26</v>
      </c>
      <c r="C380" t="s">
        <v>11</v>
      </c>
      <c r="D380">
        <v>417.7</v>
      </c>
      <c r="F380" s="3">
        <v>44120</v>
      </c>
      <c r="G380" s="2" t="str">
        <f t="shared" si="15"/>
        <v>October</v>
      </c>
      <c r="H380" s="2" t="str">
        <f t="shared" si="16"/>
        <v>Week 3</v>
      </c>
      <c r="I380" s="2" t="str">
        <f t="shared" si="17"/>
        <v>Quarter 4</v>
      </c>
    </row>
    <row r="381" spans="1:9" x14ac:dyDescent="0.25">
      <c r="A381">
        <v>2000084031</v>
      </c>
      <c r="B381" t="s">
        <v>26</v>
      </c>
      <c r="C381" t="s">
        <v>11</v>
      </c>
      <c r="D381">
        <v>446.5</v>
      </c>
      <c r="F381" s="3">
        <v>44120</v>
      </c>
      <c r="G381" s="2" t="str">
        <f t="shared" si="15"/>
        <v>October</v>
      </c>
      <c r="H381" s="2" t="str">
        <f t="shared" si="16"/>
        <v>Week 3</v>
      </c>
      <c r="I381" s="2" t="str">
        <f t="shared" si="17"/>
        <v>Quarter 4</v>
      </c>
    </row>
    <row r="382" spans="1:9" x14ac:dyDescent="0.25">
      <c r="A382">
        <v>2000083975</v>
      </c>
      <c r="B382" t="s">
        <v>26</v>
      </c>
      <c r="C382" t="s">
        <v>11</v>
      </c>
      <c r="D382">
        <v>1082.5</v>
      </c>
      <c r="F382" s="3">
        <v>44120</v>
      </c>
      <c r="G382" s="2" t="str">
        <f t="shared" si="15"/>
        <v>October</v>
      </c>
      <c r="H382" s="2" t="str">
        <f t="shared" si="16"/>
        <v>Week 3</v>
      </c>
      <c r="I382" s="2" t="str">
        <f t="shared" si="17"/>
        <v>Quarter 4</v>
      </c>
    </row>
    <row r="383" spans="1:9" x14ac:dyDescent="0.25">
      <c r="A383">
        <v>2000083958</v>
      </c>
      <c r="B383" t="s">
        <v>26</v>
      </c>
      <c r="C383" t="s">
        <v>17</v>
      </c>
      <c r="D383">
        <v>127.2</v>
      </c>
      <c r="F383" s="3">
        <v>44120</v>
      </c>
      <c r="G383" s="2" t="str">
        <f t="shared" si="15"/>
        <v>October</v>
      </c>
      <c r="H383" s="2" t="str">
        <f t="shared" si="16"/>
        <v>Week 3</v>
      </c>
      <c r="I383" s="2" t="str">
        <f t="shared" si="17"/>
        <v>Quarter 4</v>
      </c>
    </row>
    <row r="384" spans="1:9" x14ac:dyDescent="0.25">
      <c r="A384">
        <v>2000084133</v>
      </c>
      <c r="B384" t="s">
        <v>26</v>
      </c>
      <c r="C384" t="s">
        <v>17</v>
      </c>
      <c r="D384">
        <v>220.2</v>
      </c>
      <c r="F384" s="3">
        <v>44120</v>
      </c>
      <c r="G384" s="2" t="str">
        <f t="shared" si="15"/>
        <v>October</v>
      </c>
      <c r="H384" s="2" t="str">
        <f t="shared" si="16"/>
        <v>Week 3</v>
      </c>
      <c r="I384" s="2" t="str">
        <f t="shared" si="17"/>
        <v>Quarter 4</v>
      </c>
    </row>
    <row r="385" spans="1:9" x14ac:dyDescent="0.25">
      <c r="A385">
        <v>2000084057</v>
      </c>
      <c r="B385" t="s">
        <v>26</v>
      </c>
      <c r="C385" t="s">
        <v>17</v>
      </c>
      <c r="D385">
        <v>90.95</v>
      </c>
      <c r="F385" s="3">
        <v>44120</v>
      </c>
      <c r="G385" s="2" t="str">
        <f t="shared" si="15"/>
        <v>October</v>
      </c>
      <c r="H385" s="2" t="str">
        <f t="shared" si="16"/>
        <v>Week 3</v>
      </c>
      <c r="I385" s="2" t="str">
        <f t="shared" si="17"/>
        <v>Quarter 4</v>
      </c>
    </row>
    <row r="386" spans="1:9" x14ac:dyDescent="0.25">
      <c r="A386">
        <v>2000084192</v>
      </c>
      <c r="B386" t="s">
        <v>26</v>
      </c>
      <c r="C386" t="s">
        <v>27</v>
      </c>
      <c r="D386">
        <v>55.9</v>
      </c>
      <c r="F386" s="3">
        <v>44120</v>
      </c>
      <c r="G386" s="2" t="str">
        <f t="shared" si="15"/>
        <v>October</v>
      </c>
      <c r="H386" s="2" t="str">
        <f t="shared" si="16"/>
        <v>Week 3</v>
      </c>
      <c r="I386" s="2" t="str">
        <f t="shared" si="17"/>
        <v>Quarter 4</v>
      </c>
    </row>
    <row r="387" spans="1:9" x14ac:dyDescent="0.25">
      <c r="A387">
        <v>2000084193</v>
      </c>
      <c r="B387" t="s">
        <v>26</v>
      </c>
      <c r="C387" t="s">
        <v>27</v>
      </c>
      <c r="D387">
        <v>41.95</v>
      </c>
      <c r="F387" s="3">
        <v>44120</v>
      </c>
      <c r="G387" s="2" t="str">
        <f t="shared" ref="G387:G450" si="18">TEXT(F387,"mmmm")</f>
        <v>October</v>
      </c>
      <c r="H387" s="2" t="str">
        <f t="shared" ref="H387:H450" si="19">"Week "&amp;((WEEKNUM(F387)-WEEKNUM(DATE(YEAR(F387),MONTH(F387),1))+1))</f>
        <v>Week 3</v>
      </c>
      <c r="I387" s="2" t="str">
        <f t="shared" ref="I387:I450" si="20">"Quarter " &amp; ROUNDUP((MONTH(F387))/3,0)</f>
        <v>Quarter 4</v>
      </c>
    </row>
    <row r="388" spans="1:9" x14ac:dyDescent="0.25">
      <c r="A388">
        <v>2000084087</v>
      </c>
      <c r="B388" t="s">
        <v>26</v>
      </c>
      <c r="C388" t="s">
        <v>17</v>
      </c>
      <c r="D388">
        <v>174.55</v>
      </c>
      <c r="F388" s="3">
        <v>44120</v>
      </c>
      <c r="G388" s="2" t="str">
        <f t="shared" si="18"/>
        <v>October</v>
      </c>
      <c r="H388" s="2" t="str">
        <f t="shared" si="19"/>
        <v>Week 3</v>
      </c>
      <c r="I388" s="2" t="str">
        <f t="shared" si="20"/>
        <v>Quarter 4</v>
      </c>
    </row>
    <row r="389" spans="1:9" x14ac:dyDescent="0.25">
      <c r="A389">
        <v>2000084194</v>
      </c>
      <c r="B389" t="s">
        <v>26</v>
      </c>
      <c r="C389" t="s">
        <v>27</v>
      </c>
      <c r="D389">
        <v>22.45</v>
      </c>
      <c r="F389" s="3">
        <v>44120</v>
      </c>
      <c r="G389" s="2" t="str">
        <f t="shared" si="18"/>
        <v>October</v>
      </c>
      <c r="H389" s="2" t="str">
        <f t="shared" si="19"/>
        <v>Week 3</v>
      </c>
      <c r="I389" s="2" t="str">
        <f t="shared" si="20"/>
        <v>Quarter 4</v>
      </c>
    </row>
    <row r="390" spans="1:9" x14ac:dyDescent="0.25">
      <c r="A390">
        <v>2000084099</v>
      </c>
      <c r="B390" t="s">
        <v>26</v>
      </c>
      <c r="C390" t="s">
        <v>11</v>
      </c>
      <c r="D390">
        <v>286.39999999999998</v>
      </c>
      <c r="F390" s="3">
        <v>44120</v>
      </c>
      <c r="G390" s="2" t="str">
        <f t="shared" si="18"/>
        <v>October</v>
      </c>
      <c r="H390" s="2" t="str">
        <f t="shared" si="19"/>
        <v>Week 3</v>
      </c>
      <c r="I390" s="2" t="str">
        <f t="shared" si="20"/>
        <v>Quarter 4</v>
      </c>
    </row>
    <row r="391" spans="1:9" x14ac:dyDescent="0.25">
      <c r="A391">
        <v>2000084195</v>
      </c>
      <c r="B391" t="s">
        <v>26</v>
      </c>
      <c r="C391" t="s">
        <v>27</v>
      </c>
      <c r="D391">
        <v>33.4</v>
      </c>
      <c r="F391" s="3">
        <v>44120</v>
      </c>
      <c r="G391" s="2" t="str">
        <f t="shared" si="18"/>
        <v>October</v>
      </c>
      <c r="H391" s="2" t="str">
        <f t="shared" si="19"/>
        <v>Week 3</v>
      </c>
      <c r="I391" s="2" t="str">
        <f t="shared" si="20"/>
        <v>Quarter 4</v>
      </c>
    </row>
    <row r="392" spans="1:9" x14ac:dyDescent="0.25">
      <c r="A392">
        <v>2000084196</v>
      </c>
      <c r="B392" t="s">
        <v>26</v>
      </c>
      <c r="C392" t="s">
        <v>27</v>
      </c>
      <c r="D392">
        <v>31.25</v>
      </c>
      <c r="F392" s="3">
        <v>44120</v>
      </c>
      <c r="G392" s="2" t="str">
        <f t="shared" si="18"/>
        <v>October</v>
      </c>
      <c r="H392" s="2" t="str">
        <f t="shared" si="19"/>
        <v>Week 3</v>
      </c>
      <c r="I392" s="2" t="str">
        <f t="shared" si="20"/>
        <v>Quarter 4</v>
      </c>
    </row>
    <row r="393" spans="1:9" x14ac:dyDescent="0.25">
      <c r="A393">
        <v>2000084197</v>
      </c>
      <c r="B393" t="s">
        <v>26</v>
      </c>
      <c r="C393" t="s">
        <v>27</v>
      </c>
      <c r="D393">
        <v>5.6</v>
      </c>
      <c r="F393" s="3">
        <v>44120</v>
      </c>
      <c r="G393" s="2" t="str">
        <f t="shared" si="18"/>
        <v>October</v>
      </c>
      <c r="H393" s="2" t="str">
        <f t="shared" si="19"/>
        <v>Week 3</v>
      </c>
      <c r="I393" s="2" t="str">
        <f t="shared" si="20"/>
        <v>Quarter 4</v>
      </c>
    </row>
    <row r="394" spans="1:9" x14ac:dyDescent="0.25">
      <c r="A394">
        <v>2000083978</v>
      </c>
      <c r="B394" t="s">
        <v>26</v>
      </c>
      <c r="C394" t="s">
        <v>11</v>
      </c>
      <c r="D394">
        <v>2917.75</v>
      </c>
      <c r="F394" s="3">
        <v>44120</v>
      </c>
      <c r="G394" s="2" t="str">
        <f t="shared" si="18"/>
        <v>October</v>
      </c>
      <c r="H394" s="2" t="str">
        <f t="shared" si="19"/>
        <v>Week 3</v>
      </c>
      <c r="I394" s="2" t="str">
        <f t="shared" si="20"/>
        <v>Quarter 4</v>
      </c>
    </row>
    <row r="395" spans="1:9" x14ac:dyDescent="0.25">
      <c r="A395">
        <v>2000084048</v>
      </c>
      <c r="B395" t="s">
        <v>26</v>
      </c>
      <c r="C395" t="s">
        <v>11</v>
      </c>
      <c r="D395">
        <v>374</v>
      </c>
      <c r="F395" s="3">
        <v>44120</v>
      </c>
      <c r="G395" s="2" t="str">
        <f t="shared" si="18"/>
        <v>October</v>
      </c>
      <c r="H395" s="2" t="str">
        <f t="shared" si="19"/>
        <v>Week 3</v>
      </c>
      <c r="I395" s="2" t="str">
        <f t="shared" si="20"/>
        <v>Quarter 4</v>
      </c>
    </row>
    <row r="396" spans="1:9" x14ac:dyDescent="0.25">
      <c r="A396">
        <v>2000083966</v>
      </c>
      <c r="B396" t="s">
        <v>26</v>
      </c>
      <c r="C396" t="s">
        <v>17</v>
      </c>
      <c r="D396">
        <v>143</v>
      </c>
      <c r="F396" s="3">
        <v>44120</v>
      </c>
      <c r="G396" s="2" t="str">
        <f t="shared" si="18"/>
        <v>October</v>
      </c>
      <c r="H396" s="2" t="str">
        <f t="shared" si="19"/>
        <v>Week 3</v>
      </c>
      <c r="I396" s="2" t="str">
        <f t="shared" si="20"/>
        <v>Quarter 4</v>
      </c>
    </row>
    <row r="397" spans="1:9" x14ac:dyDescent="0.25">
      <c r="A397">
        <v>2000084043</v>
      </c>
      <c r="B397" t="s">
        <v>26</v>
      </c>
      <c r="C397" t="s">
        <v>17</v>
      </c>
      <c r="D397">
        <v>77.349999999999994</v>
      </c>
      <c r="F397" s="3">
        <v>44120</v>
      </c>
      <c r="G397" s="2" t="str">
        <f t="shared" si="18"/>
        <v>October</v>
      </c>
      <c r="H397" s="2" t="str">
        <f t="shared" si="19"/>
        <v>Week 3</v>
      </c>
      <c r="I397" s="2" t="str">
        <f t="shared" si="20"/>
        <v>Quarter 4</v>
      </c>
    </row>
    <row r="398" spans="1:9" x14ac:dyDescent="0.25">
      <c r="A398">
        <v>2000084069</v>
      </c>
      <c r="B398" t="s">
        <v>26</v>
      </c>
      <c r="C398" t="s">
        <v>17</v>
      </c>
      <c r="D398">
        <v>128.69999999999999</v>
      </c>
      <c r="F398" s="3">
        <v>44120</v>
      </c>
      <c r="G398" s="2" t="str">
        <f t="shared" si="18"/>
        <v>October</v>
      </c>
      <c r="H398" s="2" t="str">
        <f t="shared" si="19"/>
        <v>Week 3</v>
      </c>
      <c r="I398" s="2" t="str">
        <f t="shared" si="20"/>
        <v>Quarter 4</v>
      </c>
    </row>
    <row r="399" spans="1:9" x14ac:dyDescent="0.25">
      <c r="A399">
        <v>2000084065</v>
      </c>
      <c r="B399" t="s">
        <v>26</v>
      </c>
      <c r="C399" t="s">
        <v>17</v>
      </c>
      <c r="D399">
        <v>117.7</v>
      </c>
      <c r="F399" s="3">
        <v>44120</v>
      </c>
      <c r="G399" s="2" t="str">
        <f t="shared" si="18"/>
        <v>October</v>
      </c>
      <c r="H399" s="2" t="str">
        <f t="shared" si="19"/>
        <v>Week 3</v>
      </c>
      <c r="I399" s="2" t="str">
        <f t="shared" si="20"/>
        <v>Quarter 4</v>
      </c>
    </row>
    <row r="400" spans="1:9" x14ac:dyDescent="0.25">
      <c r="A400">
        <v>2000084092</v>
      </c>
      <c r="B400" t="s">
        <v>26</v>
      </c>
      <c r="C400" t="s">
        <v>11</v>
      </c>
      <c r="D400">
        <v>300.5</v>
      </c>
      <c r="F400" s="3">
        <v>44120</v>
      </c>
      <c r="G400" s="2" t="str">
        <f t="shared" si="18"/>
        <v>October</v>
      </c>
      <c r="H400" s="2" t="str">
        <f t="shared" si="19"/>
        <v>Week 3</v>
      </c>
      <c r="I400" s="2" t="str">
        <f t="shared" si="20"/>
        <v>Quarter 4</v>
      </c>
    </row>
    <row r="401" spans="1:9" x14ac:dyDescent="0.25">
      <c r="A401">
        <v>2000084198</v>
      </c>
      <c r="B401" t="s">
        <v>26</v>
      </c>
      <c r="C401" t="s">
        <v>27</v>
      </c>
      <c r="D401">
        <v>34.9</v>
      </c>
      <c r="F401" s="3">
        <v>44120</v>
      </c>
      <c r="G401" s="2" t="str">
        <f t="shared" si="18"/>
        <v>October</v>
      </c>
      <c r="H401" s="2" t="str">
        <f t="shared" si="19"/>
        <v>Week 3</v>
      </c>
      <c r="I401" s="2" t="str">
        <f t="shared" si="20"/>
        <v>Quarter 4</v>
      </c>
    </row>
    <row r="402" spans="1:9" x14ac:dyDescent="0.25">
      <c r="A402">
        <v>2000084049</v>
      </c>
      <c r="B402" t="s">
        <v>26</v>
      </c>
      <c r="C402" t="s">
        <v>17</v>
      </c>
      <c r="D402">
        <v>79.7</v>
      </c>
      <c r="F402" s="3">
        <v>44120</v>
      </c>
      <c r="G402" s="2" t="str">
        <f t="shared" si="18"/>
        <v>October</v>
      </c>
      <c r="H402" s="2" t="str">
        <f t="shared" si="19"/>
        <v>Week 3</v>
      </c>
      <c r="I402" s="2" t="str">
        <f t="shared" si="20"/>
        <v>Quarter 4</v>
      </c>
    </row>
    <row r="403" spans="1:9" x14ac:dyDescent="0.25">
      <c r="A403">
        <v>2000084060</v>
      </c>
      <c r="B403" t="s">
        <v>26</v>
      </c>
      <c r="C403" t="s">
        <v>17</v>
      </c>
      <c r="D403">
        <v>103.8</v>
      </c>
      <c r="F403" s="3">
        <v>44120</v>
      </c>
      <c r="G403" s="2" t="str">
        <f t="shared" si="18"/>
        <v>October</v>
      </c>
      <c r="H403" s="2" t="str">
        <f t="shared" si="19"/>
        <v>Week 3</v>
      </c>
      <c r="I403" s="2" t="str">
        <f t="shared" si="20"/>
        <v>Quarter 4</v>
      </c>
    </row>
    <row r="404" spans="1:9" x14ac:dyDescent="0.25">
      <c r="A404">
        <v>2000084199</v>
      </c>
      <c r="B404" t="s">
        <v>26</v>
      </c>
      <c r="C404" t="s">
        <v>27</v>
      </c>
      <c r="D404">
        <v>7.8</v>
      </c>
      <c r="F404" s="3">
        <v>44120</v>
      </c>
      <c r="G404" s="2" t="str">
        <f t="shared" si="18"/>
        <v>October</v>
      </c>
      <c r="H404" s="2" t="str">
        <f t="shared" si="19"/>
        <v>Week 3</v>
      </c>
      <c r="I404" s="2" t="str">
        <f t="shared" si="20"/>
        <v>Quarter 4</v>
      </c>
    </row>
    <row r="405" spans="1:9" x14ac:dyDescent="0.25">
      <c r="A405">
        <v>2000084200</v>
      </c>
      <c r="B405" t="s">
        <v>26</v>
      </c>
      <c r="C405" t="s">
        <v>27</v>
      </c>
      <c r="D405">
        <v>7.8</v>
      </c>
      <c r="F405" s="3">
        <v>44120</v>
      </c>
      <c r="G405" s="2" t="str">
        <f t="shared" si="18"/>
        <v>October</v>
      </c>
      <c r="H405" s="2" t="str">
        <f t="shared" si="19"/>
        <v>Week 3</v>
      </c>
      <c r="I405" s="2" t="str">
        <f t="shared" si="20"/>
        <v>Quarter 4</v>
      </c>
    </row>
    <row r="406" spans="1:9" x14ac:dyDescent="0.25">
      <c r="A406">
        <v>2000083942</v>
      </c>
      <c r="B406" t="s">
        <v>26</v>
      </c>
      <c r="C406" t="s">
        <v>11</v>
      </c>
      <c r="D406">
        <v>3591.2</v>
      </c>
      <c r="F406" s="3">
        <v>44120</v>
      </c>
      <c r="G406" s="2" t="str">
        <f t="shared" si="18"/>
        <v>October</v>
      </c>
      <c r="H406" s="2" t="str">
        <f t="shared" si="19"/>
        <v>Week 3</v>
      </c>
      <c r="I406" s="2" t="str">
        <f t="shared" si="20"/>
        <v>Quarter 4</v>
      </c>
    </row>
    <row r="407" spans="1:9" x14ac:dyDescent="0.25">
      <c r="A407">
        <v>2000084145</v>
      </c>
      <c r="B407" t="s">
        <v>26</v>
      </c>
      <c r="C407" t="s">
        <v>25</v>
      </c>
      <c r="D407">
        <v>40</v>
      </c>
      <c r="F407" s="3">
        <v>44120</v>
      </c>
      <c r="G407" s="2" t="str">
        <f t="shared" si="18"/>
        <v>October</v>
      </c>
      <c r="H407" s="2" t="str">
        <f t="shared" si="19"/>
        <v>Week 3</v>
      </c>
      <c r="I407" s="2" t="str">
        <f t="shared" si="20"/>
        <v>Quarter 4</v>
      </c>
    </row>
    <row r="408" spans="1:9" x14ac:dyDescent="0.25">
      <c r="A408">
        <v>2000084202</v>
      </c>
      <c r="B408" t="s">
        <v>26</v>
      </c>
      <c r="C408" t="s">
        <v>27</v>
      </c>
      <c r="D408">
        <v>56.9</v>
      </c>
      <c r="F408" s="3">
        <v>44120</v>
      </c>
      <c r="G408" s="2" t="str">
        <f t="shared" si="18"/>
        <v>October</v>
      </c>
      <c r="H408" s="2" t="str">
        <f t="shared" si="19"/>
        <v>Week 3</v>
      </c>
      <c r="I408" s="2" t="str">
        <f t="shared" si="20"/>
        <v>Quarter 4</v>
      </c>
    </row>
    <row r="409" spans="1:9" x14ac:dyDescent="0.25">
      <c r="A409">
        <v>2000084203</v>
      </c>
      <c r="B409" t="s">
        <v>26</v>
      </c>
      <c r="C409" t="s">
        <v>27</v>
      </c>
      <c r="D409">
        <v>29</v>
      </c>
      <c r="F409" s="3">
        <v>44120</v>
      </c>
      <c r="G409" s="2" t="str">
        <f t="shared" si="18"/>
        <v>October</v>
      </c>
      <c r="H409" s="2" t="str">
        <f t="shared" si="19"/>
        <v>Week 3</v>
      </c>
      <c r="I409" s="2" t="str">
        <f t="shared" si="20"/>
        <v>Quarter 4</v>
      </c>
    </row>
    <row r="410" spans="1:9" x14ac:dyDescent="0.25">
      <c r="A410">
        <v>2000084091</v>
      </c>
      <c r="B410" t="s">
        <v>26</v>
      </c>
      <c r="C410" t="s">
        <v>17</v>
      </c>
      <c r="D410">
        <v>182.9</v>
      </c>
      <c r="F410" s="3">
        <v>44120</v>
      </c>
      <c r="G410" s="2" t="str">
        <f t="shared" si="18"/>
        <v>October</v>
      </c>
      <c r="H410" s="2" t="str">
        <f t="shared" si="19"/>
        <v>Week 3</v>
      </c>
      <c r="I410" s="2" t="str">
        <f t="shared" si="20"/>
        <v>Quarter 4</v>
      </c>
    </row>
    <row r="411" spans="1:9" x14ac:dyDescent="0.25">
      <c r="A411">
        <v>2000084121</v>
      </c>
      <c r="B411" t="s">
        <v>26</v>
      </c>
      <c r="C411" t="s">
        <v>17</v>
      </c>
      <c r="D411">
        <v>193.95</v>
      </c>
      <c r="F411" s="3">
        <v>44120</v>
      </c>
      <c r="G411" s="2" t="str">
        <f t="shared" si="18"/>
        <v>October</v>
      </c>
      <c r="H411" s="2" t="str">
        <f t="shared" si="19"/>
        <v>Week 3</v>
      </c>
      <c r="I411" s="2" t="str">
        <f t="shared" si="20"/>
        <v>Quarter 4</v>
      </c>
    </row>
    <row r="412" spans="1:9" x14ac:dyDescent="0.25">
      <c r="A412">
        <v>2000084055</v>
      </c>
      <c r="B412" t="s">
        <v>26</v>
      </c>
      <c r="C412" t="s">
        <v>17</v>
      </c>
      <c r="D412">
        <v>86.45</v>
      </c>
      <c r="F412" s="3">
        <v>44120</v>
      </c>
      <c r="G412" s="2" t="str">
        <f t="shared" si="18"/>
        <v>October</v>
      </c>
      <c r="H412" s="2" t="str">
        <f t="shared" si="19"/>
        <v>Week 3</v>
      </c>
      <c r="I412" s="2" t="str">
        <f t="shared" si="20"/>
        <v>Quarter 4</v>
      </c>
    </row>
    <row r="413" spans="1:9" x14ac:dyDescent="0.25">
      <c r="A413">
        <v>2000084102</v>
      </c>
      <c r="B413" t="s">
        <v>26</v>
      </c>
      <c r="C413" t="s">
        <v>11</v>
      </c>
      <c r="D413">
        <v>266.5</v>
      </c>
      <c r="F413" s="3">
        <v>44120</v>
      </c>
      <c r="G413" s="2" t="str">
        <f t="shared" si="18"/>
        <v>October</v>
      </c>
      <c r="H413" s="2" t="str">
        <f t="shared" si="19"/>
        <v>Week 3</v>
      </c>
      <c r="I413" s="2" t="str">
        <f t="shared" si="20"/>
        <v>Quarter 4</v>
      </c>
    </row>
    <row r="414" spans="1:9" x14ac:dyDescent="0.25">
      <c r="A414">
        <v>2000084205</v>
      </c>
      <c r="B414" t="s">
        <v>26</v>
      </c>
      <c r="C414" t="s">
        <v>27</v>
      </c>
      <c r="D414">
        <v>11.2</v>
      </c>
      <c r="F414" s="3">
        <v>44120</v>
      </c>
      <c r="G414" s="2" t="str">
        <f t="shared" si="18"/>
        <v>October</v>
      </c>
      <c r="H414" s="2" t="str">
        <f t="shared" si="19"/>
        <v>Week 3</v>
      </c>
      <c r="I414" s="2" t="str">
        <f t="shared" si="20"/>
        <v>Quarter 4</v>
      </c>
    </row>
    <row r="415" spans="1:9" x14ac:dyDescent="0.25">
      <c r="A415">
        <v>2000084206</v>
      </c>
      <c r="B415" t="s">
        <v>26</v>
      </c>
      <c r="C415" t="s">
        <v>27</v>
      </c>
      <c r="D415">
        <v>20.8</v>
      </c>
      <c r="F415" s="3">
        <v>44120</v>
      </c>
      <c r="G415" s="2" t="str">
        <f t="shared" si="18"/>
        <v>October</v>
      </c>
      <c r="H415" s="2" t="str">
        <f t="shared" si="19"/>
        <v>Week 3</v>
      </c>
      <c r="I415" s="2" t="str">
        <f t="shared" si="20"/>
        <v>Quarter 4</v>
      </c>
    </row>
    <row r="416" spans="1:9" x14ac:dyDescent="0.25">
      <c r="A416">
        <v>2000084163</v>
      </c>
      <c r="B416" t="s">
        <v>26</v>
      </c>
      <c r="C416" t="s">
        <v>15</v>
      </c>
      <c r="D416">
        <v>21.05</v>
      </c>
      <c r="F416" s="3">
        <v>44120</v>
      </c>
      <c r="G416" s="2" t="str">
        <f t="shared" si="18"/>
        <v>October</v>
      </c>
      <c r="H416" s="2" t="str">
        <f t="shared" si="19"/>
        <v>Week 3</v>
      </c>
      <c r="I416" s="2" t="str">
        <f t="shared" si="20"/>
        <v>Quarter 4</v>
      </c>
    </row>
    <row r="417" spans="1:9" x14ac:dyDescent="0.25">
      <c r="A417">
        <v>2000084094</v>
      </c>
      <c r="B417" t="s">
        <v>26</v>
      </c>
      <c r="C417" t="s">
        <v>11</v>
      </c>
      <c r="D417">
        <v>298.05</v>
      </c>
      <c r="F417" s="3">
        <v>44120</v>
      </c>
      <c r="G417" s="2" t="str">
        <f t="shared" si="18"/>
        <v>October</v>
      </c>
      <c r="H417" s="2" t="str">
        <f t="shared" si="19"/>
        <v>Week 3</v>
      </c>
      <c r="I417" s="2" t="str">
        <f t="shared" si="20"/>
        <v>Quarter 4</v>
      </c>
    </row>
    <row r="418" spans="1:9" x14ac:dyDescent="0.25">
      <c r="A418">
        <v>2000084207</v>
      </c>
      <c r="B418" t="s">
        <v>26</v>
      </c>
      <c r="C418" t="s">
        <v>27</v>
      </c>
      <c r="D418">
        <v>5.6</v>
      </c>
      <c r="F418" s="3">
        <v>44120</v>
      </c>
      <c r="G418" s="2" t="str">
        <f t="shared" si="18"/>
        <v>October</v>
      </c>
      <c r="H418" s="2" t="str">
        <f t="shared" si="19"/>
        <v>Week 3</v>
      </c>
      <c r="I418" s="2" t="str">
        <f t="shared" si="20"/>
        <v>Quarter 4</v>
      </c>
    </row>
    <row r="419" spans="1:9" x14ac:dyDescent="0.25">
      <c r="A419">
        <v>2000084018</v>
      </c>
      <c r="B419" t="s">
        <v>26</v>
      </c>
      <c r="C419" t="s">
        <v>17</v>
      </c>
      <c r="D419">
        <v>64.75</v>
      </c>
      <c r="F419" s="3">
        <v>44120</v>
      </c>
      <c r="G419" s="2" t="str">
        <f t="shared" si="18"/>
        <v>October</v>
      </c>
      <c r="H419" s="2" t="str">
        <f t="shared" si="19"/>
        <v>Week 3</v>
      </c>
      <c r="I419" s="2" t="str">
        <f t="shared" si="20"/>
        <v>Quarter 4</v>
      </c>
    </row>
    <row r="420" spans="1:9" x14ac:dyDescent="0.25">
      <c r="A420">
        <v>2000084208</v>
      </c>
      <c r="B420" t="s">
        <v>26</v>
      </c>
      <c r="C420" t="s">
        <v>27</v>
      </c>
      <c r="D420">
        <v>23.65</v>
      </c>
      <c r="F420" s="3">
        <v>44120</v>
      </c>
      <c r="G420" s="2" t="str">
        <f t="shared" si="18"/>
        <v>October</v>
      </c>
      <c r="H420" s="2" t="str">
        <f t="shared" si="19"/>
        <v>Week 3</v>
      </c>
      <c r="I420" s="2" t="str">
        <f t="shared" si="20"/>
        <v>Quarter 4</v>
      </c>
    </row>
    <row r="421" spans="1:9" x14ac:dyDescent="0.25">
      <c r="A421">
        <v>2000084209</v>
      </c>
      <c r="B421" t="s">
        <v>26</v>
      </c>
      <c r="C421" t="s">
        <v>27</v>
      </c>
      <c r="D421">
        <v>31.25</v>
      </c>
      <c r="F421" s="3">
        <v>44120</v>
      </c>
      <c r="G421" s="2" t="str">
        <f t="shared" si="18"/>
        <v>October</v>
      </c>
      <c r="H421" s="2" t="str">
        <f t="shared" si="19"/>
        <v>Week 3</v>
      </c>
      <c r="I421" s="2" t="str">
        <f t="shared" si="20"/>
        <v>Quarter 4</v>
      </c>
    </row>
    <row r="422" spans="1:9" x14ac:dyDescent="0.25">
      <c r="A422">
        <v>2000084021</v>
      </c>
      <c r="B422" t="s">
        <v>26</v>
      </c>
      <c r="C422" t="s">
        <v>17</v>
      </c>
      <c r="D422">
        <v>65.400000000000006</v>
      </c>
      <c r="F422" s="3">
        <v>44120</v>
      </c>
      <c r="G422" s="2" t="str">
        <f t="shared" si="18"/>
        <v>October</v>
      </c>
      <c r="H422" s="2" t="str">
        <f t="shared" si="19"/>
        <v>Week 3</v>
      </c>
      <c r="I422" s="2" t="str">
        <f t="shared" si="20"/>
        <v>Quarter 4</v>
      </c>
    </row>
    <row r="423" spans="1:9" x14ac:dyDescent="0.25">
      <c r="A423">
        <v>2000084210</v>
      </c>
      <c r="B423" t="s">
        <v>26</v>
      </c>
      <c r="C423" t="s">
        <v>27</v>
      </c>
      <c r="D423">
        <v>18.95</v>
      </c>
      <c r="F423" s="3">
        <v>44120</v>
      </c>
      <c r="G423" s="2" t="str">
        <f t="shared" si="18"/>
        <v>October</v>
      </c>
      <c r="H423" s="2" t="str">
        <f t="shared" si="19"/>
        <v>Week 3</v>
      </c>
      <c r="I423" s="2" t="str">
        <f t="shared" si="20"/>
        <v>Quarter 4</v>
      </c>
    </row>
    <row r="424" spans="1:9" x14ac:dyDescent="0.25">
      <c r="A424">
        <v>2000084204</v>
      </c>
      <c r="B424" t="s">
        <v>26</v>
      </c>
      <c r="C424" t="s">
        <v>15</v>
      </c>
      <c r="D424">
        <v>55.35</v>
      </c>
      <c r="F424" s="3">
        <v>44120</v>
      </c>
      <c r="G424" s="2" t="str">
        <f t="shared" si="18"/>
        <v>October</v>
      </c>
      <c r="H424" s="2" t="str">
        <f t="shared" si="19"/>
        <v>Week 3</v>
      </c>
      <c r="I424" s="2" t="str">
        <f t="shared" si="20"/>
        <v>Quarter 4</v>
      </c>
    </row>
    <row r="425" spans="1:9" x14ac:dyDescent="0.25">
      <c r="A425">
        <v>2000084146</v>
      </c>
      <c r="B425" t="s">
        <v>26</v>
      </c>
      <c r="C425" t="s">
        <v>25</v>
      </c>
      <c r="D425">
        <v>20</v>
      </c>
      <c r="F425" s="3">
        <v>44120</v>
      </c>
      <c r="G425" s="2" t="str">
        <f t="shared" si="18"/>
        <v>October</v>
      </c>
      <c r="H425" s="2" t="str">
        <f t="shared" si="19"/>
        <v>Week 3</v>
      </c>
      <c r="I425" s="2" t="str">
        <f t="shared" si="20"/>
        <v>Quarter 4</v>
      </c>
    </row>
    <row r="426" spans="1:9" x14ac:dyDescent="0.25">
      <c r="A426">
        <v>2000084008</v>
      </c>
      <c r="B426" t="s">
        <v>26</v>
      </c>
      <c r="C426" t="s">
        <v>11</v>
      </c>
      <c r="D426">
        <v>591.29999999999995</v>
      </c>
      <c r="F426" s="3">
        <v>44120</v>
      </c>
      <c r="G426" s="2" t="str">
        <f t="shared" si="18"/>
        <v>October</v>
      </c>
      <c r="H426" s="2" t="str">
        <f t="shared" si="19"/>
        <v>Week 3</v>
      </c>
      <c r="I426" s="2" t="str">
        <f t="shared" si="20"/>
        <v>Quarter 4</v>
      </c>
    </row>
    <row r="427" spans="1:9" x14ac:dyDescent="0.25">
      <c r="A427">
        <v>2000084211</v>
      </c>
      <c r="B427" t="s">
        <v>26</v>
      </c>
      <c r="C427" t="s">
        <v>27</v>
      </c>
      <c r="D427">
        <v>15.1</v>
      </c>
      <c r="F427" s="3">
        <v>44120</v>
      </c>
      <c r="G427" s="2" t="str">
        <f t="shared" si="18"/>
        <v>October</v>
      </c>
      <c r="H427" s="2" t="str">
        <f t="shared" si="19"/>
        <v>Week 3</v>
      </c>
      <c r="I427" s="2" t="str">
        <f t="shared" si="20"/>
        <v>Quarter 4</v>
      </c>
    </row>
    <row r="428" spans="1:9" x14ac:dyDescent="0.25">
      <c r="A428">
        <v>2000084147</v>
      </c>
      <c r="B428" t="s">
        <v>26</v>
      </c>
      <c r="C428" t="s">
        <v>25</v>
      </c>
      <c r="D428">
        <v>5.6</v>
      </c>
      <c r="F428" s="3">
        <v>44120</v>
      </c>
      <c r="G428" s="2" t="str">
        <f t="shared" si="18"/>
        <v>October</v>
      </c>
      <c r="H428" s="2" t="str">
        <f t="shared" si="19"/>
        <v>Week 3</v>
      </c>
      <c r="I428" s="2" t="str">
        <f t="shared" si="20"/>
        <v>Quarter 4</v>
      </c>
    </row>
    <row r="429" spans="1:9" x14ac:dyDescent="0.25">
      <c r="A429">
        <v>2000084147</v>
      </c>
      <c r="B429" t="s">
        <v>26</v>
      </c>
      <c r="C429" t="s">
        <v>25</v>
      </c>
      <c r="D429">
        <v>5.6</v>
      </c>
      <c r="F429" s="3">
        <v>44120</v>
      </c>
      <c r="G429" s="2" t="str">
        <f t="shared" si="18"/>
        <v>October</v>
      </c>
      <c r="H429" s="2" t="str">
        <f t="shared" si="19"/>
        <v>Week 3</v>
      </c>
      <c r="I429" s="2" t="str">
        <f t="shared" si="20"/>
        <v>Quarter 4</v>
      </c>
    </row>
    <row r="430" spans="1:9" x14ac:dyDescent="0.25">
      <c r="A430">
        <v>2000084147</v>
      </c>
      <c r="B430" t="s">
        <v>26</v>
      </c>
      <c r="C430" t="s">
        <v>25</v>
      </c>
      <c r="D430">
        <v>5.6</v>
      </c>
      <c r="F430" s="3">
        <v>44120</v>
      </c>
      <c r="G430" s="2" t="str">
        <f t="shared" si="18"/>
        <v>October</v>
      </c>
      <c r="H430" s="2" t="str">
        <f t="shared" si="19"/>
        <v>Week 3</v>
      </c>
      <c r="I430" s="2" t="str">
        <f t="shared" si="20"/>
        <v>Quarter 4</v>
      </c>
    </row>
    <row r="431" spans="1:9" x14ac:dyDescent="0.25">
      <c r="A431">
        <v>2000084135</v>
      </c>
      <c r="B431" t="s">
        <v>26</v>
      </c>
      <c r="C431" t="s">
        <v>17</v>
      </c>
      <c r="D431">
        <v>226.25</v>
      </c>
      <c r="F431" s="3">
        <v>44120</v>
      </c>
      <c r="G431" s="2" t="str">
        <f t="shared" si="18"/>
        <v>October</v>
      </c>
      <c r="H431" s="2" t="str">
        <f t="shared" si="19"/>
        <v>Week 3</v>
      </c>
      <c r="I431" s="2" t="str">
        <f t="shared" si="20"/>
        <v>Quarter 4</v>
      </c>
    </row>
    <row r="432" spans="1:9" x14ac:dyDescent="0.25">
      <c r="A432">
        <v>2000083947</v>
      </c>
      <c r="B432" t="s">
        <v>26</v>
      </c>
      <c r="C432" t="s">
        <v>11</v>
      </c>
      <c r="D432">
        <v>2951.5</v>
      </c>
      <c r="F432" s="3">
        <v>44120</v>
      </c>
      <c r="G432" s="2" t="str">
        <f t="shared" si="18"/>
        <v>October</v>
      </c>
      <c r="H432" s="2" t="str">
        <f t="shared" si="19"/>
        <v>Week 3</v>
      </c>
      <c r="I432" s="2" t="str">
        <f t="shared" si="20"/>
        <v>Quarter 4</v>
      </c>
    </row>
    <row r="433" spans="1:9" x14ac:dyDescent="0.25">
      <c r="A433">
        <v>2000084044</v>
      </c>
      <c r="B433" t="s">
        <v>26</v>
      </c>
      <c r="C433" t="s">
        <v>17</v>
      </c>
      <c r="D433">
        <v>77.900000000000006</v>
      </c>
      <c r="F433" s="3">
        <v>44120</v>
      </c>
      <c r="G433" s="2" t="str">
        <f t="shared" si="18"/>
        <v>October</v>
      </c>
      <c r="H433" s="2" t="str">
        <f t="shared" si="19"/>
        <v>Week 3</v>
      </c>
      <c r="I433" s="2" t="str">
        <f t="shared" si="20"/>
        <v>Quarter 4</v>
      </c>
    </row>
    <row r="434" spans="1:9" x14ac:dyDescent="0.25">
      <c r="A434">
        <v>2000084123</v>
      </c>
      <c r="B434" t="s">
        <v>26</v>
      </c>
      <c r="C434" t="s">
        <v>17</v>
      </c>
      <c r="D434">
        <v>198.4</v>
      </c>
      <c r="F434" s="3">
        <v>44120</v>
      </c>
      <c r="G434" s="2" t="str">
        <f t="shared" si="18"/>
        <v>October</v>
      </c>
      <c r="H434" s="2" t="str">
        <f t="shared" si="19"/>
        <v>Week 3</v>
      </c>
      <c r="I434" s="2" t="str">
        <f t="shared" si="20"/>
        <v>Quarter 4</v>
      </c>
    </row>
    <row r="435" spans="1:9" x14ac:dyDescent="0.25">
      <c r="A435">
        <v>2000083940</v>
      </c>
      <c r="B435" t="s">
        <v>26</v>
      </c>
      <c r="C435" t="s">
        <v>17</v>
      </c>
      <c r="D435">
        <v>83.3</v>
      </c>
      <c r="F435" s="3">
        <v>44120</v>
      </c>
      <c r="G435" s="2" t="str">
        <f t="shared" si="18"/>
        <v>October</v>
      </c>
      <c r="H435" s="2" t="str">
        <f t="shared" si="19"/>
        <v>Week 3</v>
      </c>
      <c r="I435" s="2" t="str">
        <f t="shared" si="20"/>
        <v>Quarter 4</v>
      </c>
    </row>
    <row r="436" spans="1:9" x14ac:dyDescent="0.25">
      <c r="A436">
        <v>2000084107</v>
      </c>
      <c r="B436" t="s">
        <v>26</v>
      </c>
      <c r="C436" t="s">
        <v>11</v>
      </c>
      <c r="D436">
        <v>246.35</v>
      </c>
      <c r="F436" s="3">
        <v>44120</v>
      </c>
      <c r="G436" s="2" t="str">
        <f t="shared" si="18"/>
        <v>October</v>
      </c>
      <c r="H436" s="2" t="str">
        <f t="shared" si="19"/>
        <v>Week 3</v>
      </c>
      <c r="I436" s="2" t="str">
        <f t="shared" si="20"/>
        <v>Quarter 4</v>
      </c>
    </row>
    <row r="437" spans="1:9" x14ac:dyDescent="0.25">
      <c r="A437">
        <v>2000084075</v>
      </c>
      <c r="B437" t="s">
        <v>26</v>
      </c>
      <c r="C437" t="s">
        <v>17</v>
      </c>
      <c r="D437">
        <v>133.65</v>
      </c>
      <c r="F437" s="3">
        <v>44120</v>
      </c>
      <c r="G437" s="2" t="str">
        <f t="shared" si="18"/>
        <v>October</v>
      </c>
      <c r="H437" s="2" t="str">
        <f t="shared" si="19"/>
        <v>Week 3</v>
      </c>
      <c r="I437" s="2" t="str">
        <f t="shared" si="20"/>
        <v>Quarter 4</v>
      </c>
    </row>
    <row r="438" spans="1:9" x14ac:dyDescent="0.25">
      <c r="A438">
        <v>2000084108</v>
      </c>
      <c r="B438" t="s">
        <v>26</v>
      </c>
      <c r="C438" t="s">
        <v>11</v>
      </c>
      <c r="D438">
        <v>243.55</v>
      </c>
      <c r="F438" s="3">
        <v>44120</v>
      </c>
      <c r="G438" s="2" t="str">
        <f t="shared" si="18"/>
        <v>October</v>
      </c>
      <c r="H438" s="2" t="str">
        <f t="shared" si="19"/>
        <v>Week 3</v>
      </c>
      <c r="I438" s="2" t="str">
        <f t="shared" si="20"/>
        <v>Quarter 4</v>
      </c>
    </row>
    <row r="439" spans="1:9" x14ac:dyDescent="0.25">
      <c r="A439">
        <v>2000083998</v>
      </c>
      <c r="B439" t="s">
        <v>26</v>
      </c>
      <c r="C439" t="s">
        <v>11</v>
      </c>
      <c r="D439">
        <v>811.15</v>
      </c>
      <c r="F439" s="3">
        <v>44120</v>
      </c>
      <c r="G439" s="2" t="str">
        <f t="shared" si="18"/>
        <v>October</v>
      </c>
      <c r="H439" s="2" t="str">
        <f t="shared" si="19"/>
        <v>Week 3</v>
      </c>
      <c r="I439" s="2" t="str">
        <f t="shared" si="20"/>
        <v>Quarter 4</v>
      </c>
    </row>
    <row r="440" spans="1:9" x14ac:dyDescent="0.25">
      <c r="A440">
        <v>2000084090</v>
      </c>
      <c r="B440" t="s">
        <v>26</v>
      </c>
      <c r="C440" t="s">
        <v>11</v>
      </c>
      <c r="D440">
        <v>301.3</v>
      </c>
      <c r="F440" s="3">
        <v>44120</v>
      </c>
      <c r="G440" s="2" t="str">
        <f t="shared" si="18"/>
        <v>October</v>
      </c>
      <c r="H440" s="2" t="str">
        <f t="shared" si="19"/>
        <v>Week 3</v>
      </c>
      <c r="I440" s="2" t="str">
        <f t="shared" si="20"/>
        <v>Quarter 4</v>
      </c>
    </row>
    <row r="441" spans="1:9" x14ac:dyDescent="0.25">
      <c r="A441">
        <v>2000084039</v>
      </c>
      <c r="B441" t="s">
        <v>26</v>
      </c>
      <c r="C441" t="s">
        <v>17</v>
      </c>
      <c r="D441">
        <v>68.2</v>
      </c>
      <c r="F441" s="3">
        <v>44120</v>
      </c>
      <c r="G441" s="2" t="str">
        <f t="shared" si="18"/>
        <v>October</v>
      </c>
      <c r="H441" s="2" t="str">
        <f t="shared" si="19"/>
        <v>Week 3</v>
      </c>
      <c r="I441" s="2" t="str">
        <f t="shared" si="20"/>
        <v>Quarter 4</v>
      </c>
    </row>
    <row r="442" spans="1:9" x14ac:dyDescent="0.25">
      <c r="A442">
        <v>2000084148</v>
      </c>
      <c r="B442" t="s">
        <v>26</v>
      </c>
      <c r="C442" t="s">
        <v>25</v>
      </c>
      <c r="D442">
        <v>8.9499999999999993</v>
      </c>
      <c r="F442" s="3">
        <v>44120</v>
      </c>
      <c r="G442" s="2" t="str">
        <f t="shared" si="18"/>
        <v>October</v>
      </c>
      <c r="H442" s="2" t="str">
        <f t="shared" si="19"/>
        <v>Week 3</v>
      </c>
      <c r="I442" s="2" t="str">
        <f t="shared" si="20"/>
        <v>Quarter 4</v>
      </c>
    </row>
    <row r="443" spans="1:9" x14ac:dyDescent="0.25">
      <c r="A443">
        <v>2000084212</v>
      </c>
      <c r="B443" t="s">
        <v>26</v>
      </c>
      <c r="C443" t="s">
        <v>27</v>
      </c>
      <c r="D443">
        <v>23.15</v>
      </c>
      <c r="F443" s="3">
        <v>44120</v>
      </c>
      <c r="G443" s="2" t="str">
        <f t="shared" si="18"/>
        <v>October</v>
      </c>
      <c r="H443" s="2" t="str">
        <f t="shared" si="19"/>
        <v>Week 3</v>
      </c>
      <c r="I443" s="2" t="str">
        <f t="shared" si="20"/>
        <v>Quarter 4</v>
      </c>
    </row>
    <row r="444" spans="1:9" x14ac:dyDescent="0.25">
      <c r="A444">
        <v>2000084070</v>
      </c>
      <c r="B444" t="s">
        <v>26</v>
      </c>
      <c r="C444" t="s">
        <v>17</v>
      </c>
      <c r="D444">
        <v>129.65</v>
      </c>
      <c r="F444" s="3">
        <v>44120</v>
      </c>
      <c r="G444" s="2" t="str">
        <f t="shared" si="18"/>
        <v>October</v>
      </c>
      <c r="H444" s="2" t="str">
        <f t="shared" si="19"/>
        <v>Week 3</v>
      </c>
      <c r="I444" s="2" t="str">
        <f t="shared" si="20"/>
        <v>Quarter 4</v>
      </c>
    </row>
    <row r="445" spans="1:9" x14ac:dyDescent="0.25">
      <c r="A445">
        <v>2000083945</v>
      </c>
      <c r="B445" t="s">
        <v>26</v>
      </c>
      <c r="C445" t="s">
        <v>17</v>
      </c>
      <c r="D445">
        <v>98.95</v>
      </c>
      <c r="F445" s="3">
        <v>44120</v>
      </c>
      <c r="G445" s="2" t="str">
        <f t="shared" si="18"/>
        <v>October</v>
      </c>
      <c r="H445" s="2" t="str">
        <f t="shared" si="19"/>
        <v>Week 3</v>
      </c>
      <c r="I445" s="2" t="str">
        <f t="shared" si="20"/>
        <v>Quarter 4</v>
      </c>
    </row>
    <row r="446" spans="1:9" x14ac:dyDescent="0.25">
      <c r="A446">
        <v>2000084213</v>
      </c>
      <c r="B446" t="s">
        <v>26</v>
      </c>
      <c r="C446" t="s">
        <v>27</v>
      </c>
      <c r="D446">
        <v>44.3</v>
      </c>
      <c r="F446" s="3">
        <v>44120</v>
      </c>
      <c r="G446" s="2" t="str">
        <f t="shared" si="18"/>
        <v>October</v>
      </c>
      <c r="H446" s="2" t="str">
        <f t="shared" si="19"/>
        <v>Week 3</v>
      </c>
      <c r="I446" s="2" t="str">
        <f t="shared" si="20"/>
        <v>Quarter 4</v>
      </c>
    </row>
    <row r="447" spans="1:9" x14ac:dyDescent="0.25">
      <c r="A447">
        <v>2000084213</v>
      </c>
      <c r="B447" t="s">
        <v>26</v>
      </c>
      <c r="C447" t="s">
        <v>27</v>
      </c>
      <c r="D447">
        <v>21.8</v>
      </c>
      <c r="F447" s="3">
        <v>44120</v>
      </c>
      <c r="G447" s="2" t="str">
        <f t="shared" si="18"/>
        <v>October</v>
      </c>
      <c r="H447" s="2" t="str">
        <f t="shared" si="19"/>
        <v>Week 3</v>
      </c>
      <c r="I447" s="2" t="str">
        <f t="shared" si="20"/>
        <v>Quarter 4</v>
      </c>
    </row>
    <row r="448" spans="1:9" x14ac:dyDescent="0.25">
      <c r="A448">
        <v>2000083995</v>
      </c>
      <c r="B448" t="s">
        <v>26</v>
      </c>
      <c r="C448" t="s">
        <v>11</v>
      </c>
      <c r="D448">
        <v>881.45</v>
      </c>
      <c r="F448" s="3">
        <v>44120</v>
      </c>
      <c r="G448" s="2" t="str">
        <f t="shared" si="18"/>
        <v>October</v>
      </c>
      <c r="H448" s="2" t="str">
        <f t="shared" si="19"/>
        <v>Week 3</v>
      </c>
      <c r="I448" s="2" t="str">
        <f t="shared" si="20"/>
        <v>Quarter 4</v>
      </c>
    </row>
    <row r="449" spans="1:9" x14ac:dyDescent="0.25">
      <c r="A449">
        <v>2000084016</v>
      </c>
      <c r="B449" t="s">
        <v>26</v>
      </c>
      <c r="C449" t="s">
        <v>17</v>
      </c>
      <c r="D449">
        <v>63.75</v>
      </c>
      <c r="F449" s="3">
        <v>44120</v>
      </c>
      <c r="G449" s="2" t="str">
        <f t="shared" si="18"/>
        <v>October</v>
      </c>
      <c r="H449" s="2" t="str">
        <f t="shared" si="19"/>
        <v>Week 3</v>
      </c>
      <c r="I449" s="2" t="str">
        <f t="shared" si="20"/>
        <v>Quarter 4</v>
      </c>
    </row>
    <row r="450" spans="1:9" x14ac:dyDescent="0.25">
      <c r="A450">
        <v>2000084214</v>
      </c>
      <c r="B450" t="s">
        <v>26</v>
      </c>
      <c r="C450" t="s">
        <v>27</v>
      </c>
      <c r="D450">
        <v>37.549999999999997</v>
      </c>
      <c r="F450" s="3">
        <v>44120</v>
      </c>
      <c r="G450" s="2" t="str">
        <f t="shared" si="18"/>
        <v>October</v>
      </c>
      <c r="H450" s="2" t="str">
        <f t="shared" si="19"/>
        <v>Week 3</v>
      </c>
      <c r="I450" s="2" t="str">
        <f t="shared" si="20"/>
        <v>Quarter 4</v>
      </c>
    </row>
    <row r="451" spans="1:9" x14ac:dyDescent="0.25">
      <c r="A451">
        <v>2000083989</v>
      </c>
      <c r="B451" t="s">
        <v>26</v>
      </c>
      <c r="C451" t="s">
        <v>11</v>
      </c>
      <c r="D451">
        <v>1130.8</v>
      </c>
      <c r="F451" s="3">
        <v>44120</v>
      </c>
      <c r="G451" s="2" t="str">
        <f t="shared" ref="G451:G514" si="21">TEXT(F451,"mmmm")</f>
        <v>October</v>
      </c>
      <c r="H451" s="2" t="str">
        <f t="shared" ref="H451:H514" si="22">"Week "&amp;((WEEKNUM(F451)-WEEKNUM(DATE(YEAR(F451),MONTH(F451),1))+1))</f>
        <v>Week 3</v>
      </c>
      <c r="I451" s="2" t="str">
        <f t="shared" ref="I451:I514" si="23">"Quarter " &amp; ROUNDUP((MONTH(F451))/3,0)</f>
        <v>Quarter 4</v>
      </c>
    </row>
    <row r="452" spans="1:9" x14ac:dyDescent="0.25">
      <c r="A452">
        <v>2000083990</v>
      </c>
      <c r="B452" t="s">
        <v>26</v>
      </c>
      <c r="C452" t="s">
        <v>11</v>
      </c>
      <c r="D452">
        <v>541.70000000000005</v>
      </c>
      <c r="F452" s="3">
        <v>44120</v>
      </c>
      <c r="G452" s="2" t="str">
        <f t="shared" si="21"/>
        <v>October</v>
      </c>
      <c r="H452" s="2" t="str">
        <f t="shared" si="22"/>
        <v>Week 3</v>
      </c>
      <c r="I452" s="2" t="str">
        <f t="shared" si="23"/>
        <v>Quarter 4</v>
      </c>
    </row>
    <row r="453" spans="1:9" x14ac:dyDescent="0.25">
      <c r="A453">
        <v>2000084076</v>
      </c>
      <c r="B453" t="s">
        <v>26</v>
      </c>
      <c r="C453" t="s">
        <v>17</v>
      </c>
      <c r="D453">
        <v>136.9</v>
      </c>
      <c r="F453" s="3">
        <v>44120</v>
      </c>
      <c r="G453" s="2" t="str">
        <f t="shared" si="21"/>
        <v>October</v>
      </c>
      <c r="H453" s="2" t="str">
        <f t="shared" si="22"/>
        <v>Week 3</v>
      </c>
      <c r="I453" s="2" t="str">
        <f t="shared" si="23"/>
        <v>Quarter 4</v>
      </c>
    </row>
    <row r="454" spans="1:9" x14ac:dyDescent="0.25">
      <c r="A454">
        <v>2000083962</v>
      </c>
      <c r="B454" t="s">
        <v>26</v>
      </c>
      <c r="C454" t="s">
        <v>11</v>
      </c>
      <c r="D454">
        <v>2379.3000000000002</v>
      </c>
      <c r="F454" s="3">
        <v>44120</v>
      </c>
      <c r="G454" s="2" t="str">
        <f t="shared" si="21"/>
        <v>October</v>
      </c>
      <c r="H454" s="2" t="str">
        <f t="shared" si="22"/>
        <v>Week 3</v>
      </c>
      <c r="I454" s="2" t="str">
        <f t="shared" si="23"/>
        <v>Quarter 4</v>
      </c>
    </row>
    <row r="455" spans="1:9" x14ac:dyDescent="0.25">
      <c r="A455">
        <v>2000084047</v>
      </c>
      <c r="B455" t="s">
        <v>26</v>
      </c>
      <c r="C455" t="s">
        <v>17</v>
      </c>
      <c r="D455">
        <v>79.650000000000006</v>
      </c>
      <c r="F455" s="3">
        <v>44120</v>
      </c>
      <c r="G455" s="2" t="str">
        <f t="shared" si="21"/>
        <v>October</v>
      </c>
      <c r="H455" s="2" t="str">
        <f t="shared" si="22"/>
        <v>Week 3</v>
      </c>
      <c r="I455" s="2" t="str">
        <f t="shared" si="23"/>
        <v>Quarter 4</v>
      </c>
    </row>
    <row r="456" spans="1:9" x14ac:dyDescent="0.25">
      <c r="A456">
        <v>2000083953</v>
      </c>
      <c r="B456" t="s">
        <v>26</v>
      </c>
      <c r="C456" t="s">
        <v>17</v>
      </c>
      <c r="D456">
        <v>116.55</v>
      </c>
      <c r="F456" s="3">
        <v>44120</v>
      </c>
      <c r="G456" s="2" t="str">
        <f t="shared" si="21"/>
        <v>October</v>
      </c>
      <c r="H456" s="2" t="str">
        <f t="shared" si="22"/>
        <v>Week 3</v>
      </c>
      <c r="I456" s="2" t="str">
        <f t="shared" si="23"/>
        <v>Quarter 4</v>
      </c>
    </row>
    <row r="457" spans="1:9" x14ac:dyDescent="0.25">
      <c r="A457">
        <v>2000084095</v>
      </c>
      <c r="B457" t="s">
        <v>26</v>
      </c>
      <c r="C457" t="s">
        <v>17</v>
      </c>
      <c r="D457">
        <v>185.39</v>
      </c>
      <c r="F457" s="3">
        <v>44120</v>
      </c>
      <c r="G457" s="2" t="str">
        <f t="shared" si="21"/>
        <v>October</v>
      </c>
      <c r="H457" s="2" t="str">
        <f t="shared" si="22"/>
        <v>Week 3</v>
      </c>
      <c r="I457" s="2" t="str">
        <f t="shared" si="23"/>
        <v>Quarter 4</v>
      </c>
    </row>
    <row r="458" spans="1:9" x14ac:dyDescent="0.25">
      <c r="A458">
        <v>2000084073</v>
      </c>
      <c r="B458" t="s">
        <v>26</v>
      </c>
      <c r="C458" t="s">
        <v>15</v>
      </c>
      <c r="D458">
        <v>53.1</v>
      </c>
      <c r="F458" s="3">
        <v>44120</v>
      </c>
      <c r="G458" s="2" t="str">
        <f t="shared" si="21"/>
        <v>October</v>
      </c>
      <c r="H458" s="2" t="str">
        <f t="shared" si="22"/>
        <v>Week 3</v>
      </c>
      <c r="I458" s="2" t="str">
        <f t="shared" si="23"/>
        <v>Quarter 4</v>
      </c>
    </row>
    <row r="459" spans="1:9" x14ac:dyDescent="0.25">
      <c r="A459">
        <v>2000084129</v>
      </c>
      <c r="B459" t="s">
        <v>26</v>
      </c>
      <c r="C459" t="s">
        <v>17</v>
      </c>
      <c r="D459">
        <v>211.85</v>
      </c>
      <c r="F459" s="3">
        <v>44120</v>
      </c>
      <c r="G459" s="2" t="str">
        <f t="shared" si="21"/>
        <v>October</v>
      </c>
      <c r="H459" s="2" t="str">
        <f t="shared" si="22"/>
        <v>Week 3</v>
      </c>
      <c r="I459" s="2" t="str">
        <f t="shared" si="23"/>
        <v>Quarter 4</v>
      </c>
    </row>
    <row r="460" spans="1:9" x14ac:dyDescent="0.25">
      <c r="A460">
        <v>2000084040</v>
      </c>
      <c r="B460" t="s">
        <v>26</v>
      </c>
      <c r="C460" t="s">
        <v>17</v>
      </c>
      <c r="D460">
        <v>71.900000000000006</v>
      </c>
      <c r="F460" s="3">
        <v>44120</v>
      </c>
      <c r="G460" s="2" t="str">
        <f t="shared" si="21"/>
        <v>October</v>
      </c>
      <c r="H460" s="2" t="str">
        <f t="shared" si="22"/>
        <v>Week 3</v>
      </c>
      <c r="I460" s="2" t="str">
        <f t="shared" si="23"/>
        <v>Quarter 4</v>
      </c>
    </row>
    <row r="461" spans="1:9" x14ac:dyDescent="0.25">
      <c r="A461">
        <v>2000084078</v>
      </c>
      <c r="B461" t="s">
        <v>26</v>
      </c>
      <c r="C461" t="s">
        <v>17</v>
      </c>
      <c r="D461">
        <v>147.5</v>
      </c>
      <c r="F461" s="3">
        <v>44120</v>
      </c>
      <c r="G461" s="2" t="str">
        <f t="shared" si="21"/>
        <v>October</v>
      </c>
      <c r="H461" s="2" t="str">
        <f t="shared" si="22"/>
        <v>Week 3</v>
      </c>
      <c r="I461" s="2" t="str">
        <f t="shared" si="23"/>
        <v>Quarter 4</v>
      </c>
    </row>
    <row r="462" spans="1:9" x14ac:dyDescent="0.25">
      <c r="A462">
        <v>2000084215</v>
      </c>
      <c r="B462" t="s">
        <v>26</v>
      </c>
      <c r="C462" t="s">
        <v>27</v>
      </c>
      <c r="D462">
        <v>25.65</v>
      </c>
      <c r="F462" s="3">
        <v>44120</v>
      </c>
      <c r="G462" s="2" t="str">
        <f t="shared" si="21"/>
        <v>October</v>
      </c>
      <c r="H462" s="2" t="str">
        <f t="shared" si="22"/>
        <v>Week 3</v>
      </c>
      <c r="I462" s="2" t="str">
        <f t="shared" si="23"/>
        <v>Quarter 4</v>
      </c>
    </row>
    <row r="463" spans="1:9" x14ac:dyDescent="0.25">
      <c r="A463">
        <v>2000084216</v>
      </c>
      <c r="B463" t="s">
        <v>26</v>
      </c>
      <c r="C463" t="s">
        <v>27</v>
      </c>
      <c r="D463">
        <v>48.9</v>
      </c>
      <c r="F463" s="3">
        <v>44120</v>
      </c>
      <c r="G463" s="2" t="str">
        <f t="shared" si="21"/>
        <v>October</v>
      </c>
      <c r="H463" s="2" t="str">
        <f t="shared" si="22"/>
        <v>Week 3</v>
      </c>
      <c r="I463" s="2" t="str">
        <f t="shared" si="23"/>
        <v>Quarter 4</v>
      </c>
    </row>
    <row r="464" spans="1:9" x14ac:dyDescent="0.25">
      <c r="A464">
        <v>2000084041</v>
      </c>
      <c r="B464" t="s">
        <v>26</v>
      </c>
      <c r="C464" t="s">
        <v>17</v>
      </c>
      <c r="D464">
        <v>74.150000000000006</v>
      </c>
      <c r="F464" s="3">
        <v>44120</v>
      </c>
      <c r="G464" s="2" t="str">
        <f t="shared" si="21"/>
        <v>October</v>
      </c>
      <c r="H464" s="2" t="str">
        <f t="shared" si="22"/>
        <v>Week 3</v>
      </c>
      <c r="I464" s="2" t="str">
        <f t="shared" si="23"/>
        <v>Quarter 4</v>
      </c>
    </row>
    <row r="465" spans="1:9" x14ac:dyDescent="0.25">
      <c r="A465">
        <v>2000084071</v>
      </c>
      <c r="B465" t="s">
        <v>26</v>
      </c>
      <c r="C465" t="s">
        <v>17</v>
      </c>
      <c r="D465">
        <v>130.55000000000001</v>
      </c>
      <c r="F465" s="3">
        <v>44120</v>
      </c>
      <c r="G465" s="2" t="str">
        <f t="shared" si="21"/>
        <v>October</v>
      </c>
      <c r="H465" s="2" t="str">
        <f t="shared" si="22"/>
        <v>Week 3</v>
      </c>
      <c r="I465" s="2" t="str">
        <f t="shared" si="23"/>
        <v>Quarter 4</v>
      </c>
    </row>
    <row r="466" spans="1:9" x14ac:dyDescent="0.25">
      <c r="A466">
        <v>2000084052</v>
      </c>
      <c r="B466" t="s">
        <v>26</v>
      </c>
      <c r="C466" t="s">
        <v>17</v>
      </c>
      <c r="D466">
        <v>82.15</v>
      </c>
      <c r="F466" s="3">
        <v>44120</v>
      </c>
      <c r="G466" s="2" t="str">
        <f t="shared" si="21"/>
        <v>October</v>
      </c>
      <c r="H466" s="2" t="str">
        <f t="shared" si="22"/>
        <v>Week 3</v>
      </c>
      <c r="I466" s="2" t="str">
        <f t="shared" si="23"/>
        <v>Quarter 4</v>
      </c>
    </row>
    <row r="467" spans="1:9" x14ac:dyDescent="0.25">
      <c r="A467">
        <v>2000083968</v>
      </c>
      <c r="B467" t="s">
        <v>26</v>
      </c>
      <c r="C467" t="s">
        <v>17</v>
      </c>
      <c r="D467">
        <v>172.75</v>
      </c>
      <c r="F467" s="3">
        <v>44120</v>
      </c>
      <c r="G467" s="2" t="str">
        <f t="shared" si="21"/>
        <v>October</v>
      </c>
      <c r="H467" s="2" t="str">
        <f t="shared" si="22"/>
        <v>Week 3</v>
      </c>
      <c r="I467" s="2" t="str">
        <f t="shared" si="23"/>
        <v>Quarter 4</v>
      </c>
    </row>
    <row r="468" spans="1:9" x14ac:dyDescent="0.25">
      <c r="A468">
        <v>2000084149</v>
      </c>
      <c r="B468" t="s">
        <v>26</v>
      </c>
      <c r="C468" t="s">
        <v>25</v>
      </c>
      <c r="D468">
        <v>44.85</v>
      </c>
      <c r="F468" s="3">
        <v>44120</v>
      </c>
      <c r="G468" s="2" t="str">
        <f t="shared" si="21"/>
        <v>October</v>
      </c>
      <c r="H468" s="2" t="str">
        <f t="shared" si="22"/>
        <v>Week 3</v>
      </c>
      <c r="I468" s="2" t="str">
        <f t="shared" si="23"/>
        <v>Quarter 4</v>
      </c>
    </row>
    <row r="469" spans="1:9" x14ac:dyDescent="0.25">
      <c r="A469">
        <v>2000084217</v>
      </c>
      <c r="B469" t="s">
        <v>26</v>
      </c>
      <c r="C469" t="s">
        <v>27</v>
      </c>
      <c r="D469">
        <v>15.8</v>
      </c>
      <c r="F469" s="3">
        <v>44120</v>
      </c>
      <c r="G469" s="2" t="str">
        <f t="shared" si="21"/>
        <v>October</v>
      </c>
      <c r="H469" s="2" t="str">
        <f t="shared" si="22"/>
        <v>Week 3</v>
      </c>
      <c r="I469" s="2" t="str">
        <f t="shared" si="23"/>
        <v>Quarter 4</v>
      </c>
    </row>
    <row r="470" spans="1:9" x14ac:dyDescent="0.25">
      <c r="A470">
        <v>2000084063</v>
      </c>
      <c r="B470" t="s">
        <v>26</v>
      </c>
      <c r="C470" t="s">
        <v>17</v>
      </c>
      <c r="D470">
        <v>109.1</v>
      </c>
      <c r="F470" s="3">
        <v>44120</v>
      </c>
      <c r="G470" s="2" t="str">
        <f t="shared" si="21"/>
        <v>October</v>
      </c>
      <c r="H470" s="2" t="str">
        <f t="shared" si="22"/>
        <v>Week 3</v>
      </c>
      <c r="I470" s="2" t="str">
        <f t="shared" si="23"/>
        <v>Quarter 4</v>
      </c>
    </row>
    <row r="471" spans="1:9" x14ac:dyDescent="0.25">
      <c r="A471">
        <v>2000084218</v>
      </c>
      <c r="B471" t="s">
        <v>26</v>
      </c>
      <c r="C471" t="s">
        <v>27</v>
      </c>
      <c r="D471">
        <v>12.25</v>
      </c>
      <c r="F471" s="3">
        <v>44120</v>
      </c>
      <c r="G471" s="2" t="str">
        <f t="shared" si="21"/>
        <v>October</v>
      </c>
      <c r="H471" s="2" t="str">
        <f t="shared" si="22"/>
        <v>Week 3</v>
      </c>
      <c r="I471" s="2" t="str">
        <f t="shared" si="23"/>
        <v>Quarter 4</v>
      </c>
    </row>
    <row r="472" spans="1:9" x14ac:dyDescent="0.25">
      <c r="A472">
        <v>2000084005</v>
      </c>
      <c r="B472" t="s">
        <v>26</v>
      </c>
      <c r="C472" t="s">
        <v>11</v>
      </c>
      <c r="D472">
        <v>644.54999999999995</v>
      </c>
      <c r="F472" s="3">
        <v>44120</v>
      </c>
      <c r="G472" s="2" t="str">
        <f t="shared" si="21"/>
        <v>October</v>
      </c>
      <c r="H472" s="2" t="str">
        <f t="shared" si="22"/>
        <v>Week 3</v>
      </c>
      <c r="I472" s="2" t="str">
        <f t="shared" si="23"/>
        <v>Quarter 4</v>
      </c>
    </row>
    <row r="473" spans="1:9" x14ac:dyDescent="0.25">
      <c r="A473">
        <v>2000084019</v>
      </c>
      <c r="B473" t="s">
        <v>26</v>
      </c>
      <c r="C473" t="s">
        <v>17</v>
      </c>
      <c r="D473">
        <v>64.900000000000006</v>
      </c>
      <c r="F473" s="3">
        <v>44120</v>
      </c>
      <c r="G473" s="2" t="str">
        <f t="shared" si="21"/>
        <v>October</v>
      </c>
      <c r="H473" s="2" t="str">
        <f t="shared" si="22"/>
        <v>Week 3</v>
      </c>
      <c r="I473" s="2" t="str">
        <f t="shared" si="23"/>
        <v>Quarter 4</v>
      </c>
    </row>
    <row r="474" spans="1:9" x14ac:dyDescent="0.25">
      <c r="A474">
        <v>2000084068</v>
      </c>
      <c r="B474" t="s">
        <v>26</v>
      </c>
      <c r="C474" t="s">
        <v>17</v>
      </c>
      <c r="D474">
        <v>127.35</v>
      </c>
      <c r="F474" s="3">
        <v>44120</v>
      </c>
      <c r="G474" s="2" t="str">
        <f t="shared" si="21"/>
        <v>October</v>
      </c>
      <c r="H474" s="2" t="str">
        <f t="shared" si="22"/>
        <v>Week 3</v>
      </c>
      <c r="I474" s="2" t="str">
        <f t="shared" si="23"/>
        <v>Quarter 4</v>
      </c>
    </row>
    <row r="475" spans="1:9" x14ac:dyDescent="0.25">
      <c r="A475">
        <v>2000084136</v>
      </c>
      <c r="B475" t="s">
        <v>26</v>
      </c>
      <c r="C475" t="s">
        <v>17</v>
      </c>
      <c r="D475">
        <v>227.45</v>
      </c>
      <c r="F475" s="3">
        <v>44120</v>
      </c>
      <c r="G475" s="2" t="str">
        <f t="shared" si="21"/>
        <v>October</v>
      </c>
      <c r="H475" s="2" t="str">
        <f t="shared" si="22"/>
        <v>Week 3</v>
      </c>
      <c r="I475" s="2" t="str">
        <f t="shared" si="23"/>
        <v>Quarter 4</v>
      </c>
    </row>
    <row r="476" spans="1:9" x14ac:dyDescent="0.25">
      <c r="A476">
        <v>2000084106</v>
      </c>
      <c r="B476" t="s">
        <v>26</v>
      </c>
      <c r="C476" t="s">
        <v>11</v>
      </c>
      <c r="D476">
        <v>249.8</v>
      </c>
      <c r="F476" s="3">
        <v>44120</v>
      </c>
      <c r="G476" s="2" t="str">
        <f t="shared" si="21"/>
        <v>October</v>
      </c>
      <c r="H476" s="2" t="str">
        <f t="shared" si="22"/>
        <v>Week 3</v>
      </c>
      <c r="I476" s="2" t="str">
        <f t="shared" si="23"/>
        <v>Quarter 4</v>
      </c>
    </row>
    <row r="477" spans="1:9" x14ac:dyDescent="0.25">
      <c r="A477">
        <v>2000084219</v>
      </c>
      <c r="B477" t="s">
        <v>26</v>
      </c>
      <c r="C477" t="s">
        <v>27</v>
      </c>
      <c r="D477">
        <v>5.6</v>
      </c>
      <c r="F477" s="3">
        <v>44120</v>
      </c>
      <c r="G477" s="2" t="str">
        <f t="shared" si="21"/>
        <v>October</v>
      </c>
      <c r="H477" s="2" t="str">
        <f t="shared" si="22"/>
        <v>Week 3</v>
      </c>
      <c r="I477" s="2" t="str">
        <f t="shared" si="23"/>
        <v>Quarter 4</v>
      </c>
    </row>
    <row r="478" spans="1:9" x14ac:dyDescent="0.25">
      <c r="A478">
        <v>2000084221</v>
      </c>
      <c r="B478" t="s">
        <v>26</v>
      </c>
      <c r="C478" t="s">
        <v>27</v>
      </c>
      <c r="D478">
        <v>25.65</v>
      </c>
      <c r="F478" s="3">
        <v>44120</v>
      </c>
      <c r="G478" s="2" t="str">
        <f t="shared" si="21"/>
        <v>October</v>
      </c>
      <c r="H478" s="2" t="str">
        <f t="shared" si="22"/>
        <v>Week 3</v>
      </c>
      <c r="I478" s="2" t="str">
        <f t="shared" si="23"/>
        <v>Quarter 4</v>
      </c>
    </row>
    <row r="479" spans="1:9" x14ac:dyDescent="0.25">
      <c r="A479">
        <v>2000084161</v>
      </c>
      <c r="B479" t="s">
        <v>26</v>
      </c>
      <c r="C479" t="s">
        <v>15</v>
      </c>
      <c r="D479">
        <v>53.95</v>
      </c>
      <c r="F479" s="3">
        <v>44120</v>
      </c>
      <c r="G479" s="2" t="str">
        <f t="shared" si="21"/>
        <v>October</v>
      </c>
      <c r="H479" s="2" t="str">
        <f t="shared" si="22"/>
        <v>Week 3</v>
      </c>
      <c r="I479" s="2" t="str">
        <f t="shared" si="23"/>
        <v>Quarter 4</v>
      </c>
    </row>
    <row r="480" spans="1:9" x14ac:dyDescent="0.25">
      <c r="A480">
        <v>2000084161</v>
      </c>
      <c r="B480" t="s">
        <v>26</v>
      </c>
      <c r="C480" t="s">
        <v>15</v>
      </c>
      <c r="D480">
        <v>51.95</v>
      </c>
      <c r="F480" s="3">
        <v>44120</v>
      </c>
      <c r="G480" s="2" t="str">
        <f t="shared" si="21"/>
        <v>October</v>
      </c>
      <c r="H480" s="2" t="str">
        <f t="shared" si="22"/>
        <v>Week 3</v>
      </c>
      <c r="I480" s="2" t="str">
        <f t="shared" si="23"/>
        <v>Quarter 4</v>
      </c>
    </row>
    <row r="481" spans="1:9" x14ac:dyDescent="0.25">
      <c r="A481">
        <v>2000084066</v>
      </c>
      <c r="B481" t="s">
        <v>26</v>
      </c>
      <c r="C481" t="s">
        <v>16</v>
      </c>
      <c r="D481">
        <v>58.05</v>
      </c>
      <c r="F481" s="3">
        <v>44120</v>
      </c>
      <c r="G481" s="2" t="str">
        <f t="shared" si="21"/>
        <v>October</v>
      </c>
      <c r="H481" s="2" t="str">
        <f t="shared" si="22"/>
        <v>Week 3</v>
      </c>
      <c r="I481" s="2" t="str">
        <f t="shared" si="23"/>
        <v>Quarter 4</v>
      </c>
    </row>
    <row r="482" spans="1:9" x14ac:dyDescent="0.25">
      <c r="A482">
        <v>2000084124</v>
      </c>
      <c r="B482" t="s">
        <v>26</v>
      </c>
      <c r="C482" t="s">
        <v>17</v>
      </c>
      <c r="D482">
        <v>206</v>
      </c>
      <c r="F482" s="3">
        <v>44120</v>
      </c>
      <c r="G482" s="2" t="str">
        <f t="shared" si="21"/>
        <v>October</v>
      </c>
      <c r="H482" s="2" t="str">
        <f t="shared" si="22"/>
        <v>Week 3</v>
      </c>
      <c r="I482" s="2" t="str">
        <f t="shared" si="23"/>
        <v>Quarter 4</v>
      </c>
    </row>
    <row r="483" spans="1:9" x14ac:dyDescent="0.25">
      <c r="A483">
        <v>2000084201</v>
      </c>
      <c r="B483" t="s">
        <v>26</v>
      </c>
      <c r="C483" t="s">
        <v>15</v>
      </c>
      <c r="D483">
        <v>15.1</v>
      </c>
      <c r="F483" s="3">
        <v>44120</v>
      </c>
      <c r="G483" s="2" t="str">
        <f t="shared" si="21"/>
        <v>October</v>
      </c>
      <c r="H483" s="2" t="str">
        <f t="shared" si="22"/>
        <v>Week 3</v>
      </c>
      <c r="I483" s="2" t="str">
        <f t="shared" si="23"/>
        <v>Quarter 4</v>
      </c>
    </row>
    <row r="484" spans="1:9" x14ac:dyDescent="0.25">
      <c r="A484">
        <v>2000084222</v>
      </c>
      <c r="B484" t="s">
        <v>26</v>
      </c>
      <c r="C484" t="s">
        <v>27</v>
      </c>
      <c r="D484">
        <v>22.25</v>
      </c>
      <c r="F484" s="3">
        <v>44120</v>
      </c>
      <c r="G484" s="2" t="str">
        <f t="shared" si="21"/>
        <v>October</v>
      </c>
      <c r="H484" s="2" t="str">
        <f t="shared" si="22"/>
        <v>Week 3</v>
      </c>
      <c r="I484" s="2" t="str">
        <f t="shared" si="23"/>
        <v>Quarter 4</v>
      </c>
    </row>
    <row r="485" spans="1:9" x14ac:dyDescent="0.25">
      <c r="A485">
        <v>2000083976</v>
      </c>
      <c r="B485" t="s">
        <v>26</v>
      </c>
      <c r="C485" t="s">
        <v>11</v>
      </c>
      <c r="D485">
        <v>1073.3499999999999</v>
      </c>
      <c r="F485" s="3">
        <v>44120</v>
      </c>
      <c r="G485" s="2" t="str">
        <f t="shared" si="21"/>
        <v>October</v>
      </c>
      <c r="H485" s="2" t="str">
        <f t="shared" si="22"/>
        <v>Week 3</v>
      </c>
      <c r="I485" s="2" t="str">
        <f t="shared" si="23"/>
        <v>Quarter 4</v>
      </c>
    </row>
    <row r="486" spans="1:9" x14ac:dyDescent="0.25">
      <c r="A486">
        <v>2000084223</v>
      </c>
      <c r="B486" t="s">
        <v>26</v>
      </c>
      <c r="C486" t="s">
        <v>27</v>
      </c>
      <c r="D486">
        <v>36.4</v>
      </c>
      <c r="F486" s="3">
        <v>44120</v>
      </c>
      <c r="G486" s="2" t="str">
        <f t="shared" si="21"/>
        <v>October</v>
      </c>
      <c r="H486" s="2" t="str">
        <f t="shared" si="22"/>
        <v>Week 3</v>
      </c>
      <c r="I486" s="2" t="str">
        <f t="shared" si="23"/>
        <v>Quarter 4</v>
      </c>
    </row>
    <row r="487" spans="1:9" x14ac:dyDescent="0.25">
      <c r="A487">
        <v>2000083974</v>
      </c>
      <c r="B487" t="s">
        <v>26</v>
      </c>
      <c r="C487" t="s">
        <v>11</v>
      </c>
      <c r="D487">
        <v>1121.5999999999999</v>
      </c>
      <c r="F487" s="3">
        <v>44120</v>
      </c>
      <c r="G487" s="2" t="str">
        <f t="shared" si="21"/>
        <v>October</v>
      </c>
      <c r="H487" s="2" t="str">
        <f t="shared" si="22"/>
        <v>Week 3</v>
      </c>
      <c r="I487" s="2" t="str">
        <f t="shared" si="23"/>
        <v>Quarter 4</v>
      </c>
    </row>
    <row r="488" spans="1:9" x14ac:dyDescent="0.25">
      <c r="A488">
        <v>2000084120</v>
      </c>
      <c r="B488" t="s">
        <v>26</v>
      </c>
      <c r="C488" t="s">
        <v>17</v>
      </c>
      <c r="D488">
        <v>190.4</v>
      </c>
      <c r="F488" s="3">
        <v>44120</v>
      </c>
      <c r="G488" s="2" t="str">
        <f t="shared" si="21"/>
        <v>October</v>
      </c>
      <c r="H488" s="2" t="str">
        <f t="shared" si="22"/>
        <v>Week 3</v>
      </c>
      <c r="I488" s="2" t="str">
        <f t="shared" si="23"/>
        <v>Quarter 4</v>
      </c>
    </row>
    <row r="489" spans="1:9" x14ac:dyDescent="0.25">
      <c r="A489">
        <v>2000084224</v>
      </c>
      <c r="B489" t="s">
        <v>26</v>
      </c>
      <c r="C489" t="s">
        <v>27</v>
      </c>
      <c r="D489">
        <v>26.8</v>
      </c>
      <c r="F489" s="3">
        <v>44120</v>
      </c>
      <c r="G489" s="2" t="str">
        <f t="shared" si="21"/>
        <v>October</v>
      </c>
      <c r="H489" s="2" t="str">
        <f t="shared" si="22"/>
        <v>Week 3</v>
      </c>
      <c r="I489" s="2" t="str">
        <f t="shared" si="23"/>
        <v>Quarter 4</v>
      </c>
    </row>
    <row r="490" spans="1:9" x14ac:dyDescent="0.25">
      <c r="A490">
        <v>2000083991</v>
      </c>
      <c r="B490" t="s">
        <v>26</v>
      </c>
      <c r="C490" t="s">
        <v>11</v>
      </c>
      <c r="D490">
        <v>976.85</v>
      </c>
      <c r="F490" s="3">
        <v>44120</v>
      </c>
      <c r="G490" s="2" t="str">
        <f t="shared" si="21"/>
        <v>October</v>
      </c>
      <c r="H490" s="2" t="str">
        <f t="shared" si="22"/>
        <v>Week 3</v>
      </c>
      <c r="I490" s="2" t="str">
        <f t="shared" si="23"/>
        <v>Quarter 4</v>
      </c>
    </row>
    <row r="491" spans="1:9" x14ac:dyDescent="0.25">
      <c r="A491">
        <v>2000083950</v>
      </c>
      <c r="B491" t="s">
        <v>26</v>
      </c>
      <c r="C491" t="s">
        <v>17</v>
      </c>
      <c r="D491">
        <v>111.1</v>
      </c>
      <c r="F491" s="3">
        <v>44120</v>
      </c>
      <c r="G491" s="2" t="str">
        <f t="shared" si="21"/>
        <v>October</v>
      </c>
      <c r="H491" s="2" t="str">
        <f t="shared" si="22"/>
        <v>Week 3</v>
      </c>
      <c r="I491" s="2" t="str">
        <f t="shared" si="23"/>
        <v>Quarter 4</v>
      </c>
    </row>
    <row r="492" spans="1:9" x14ac:dyDescent="0.25">
      <c r="A492">
        <v>2000083972</v>
      </c>
      <c r="B492" t="s">
        <v>26</v>
      </c>
      <c r="C492" t="s">
        <v>11</v>
      </c>
      <c r="D492">
        <v>1289.3</v>
      </c>
      <c r="F492" s="3">
        <v>44120</v>
      </c>
      <c r="G492" s="2" t="str">
        <f t="shared" si="21"/>
        <v>October</v>
      </c>
      <c r="H492" s="2" t="str">
        <f t="shared" si="22"/>
        <v>Week 3</v>
      </c>
      <c r="I492" s="2" t="str">
        <f t="shared" si="23"/>
        <v>Quarter 4</v>
      </c>
    </row>
    <row r="493" spans="1:9" x14ac:dyDescent="0.25">
      <c r="A493">
        <v>2000084225</v>
      </c>
      <c r="B493" t="s">
        <v>26</v>
      </c>
      <c r="C493" t="s">
        <v>27</v>
      </c>
      <c r="D493">
        <v>12.65</v>
      </c>
      <c r="F493" s="3">
        <v>44120</v>
      </c>
      <c r="G493" s="2" t="str">
        <f t="shared" si="21"/>
        <v>October</v>
      </c>
      <c r="H493" s="2" t="str">
        <f t="shared" si="22"/>
        <v>Week 3</v>
      </c>
      <c r="I493" s="2" t="str">
        <f t="shared" si="23"/>
        <v>Quarter 4</v>
      </c>
    </row>
    <row r="494" spans="1:9" x14ac:dyDescent="0.25">
      <c r="A494">
        <v>2000084227</v>
      </c>
      <c r="B494" t="s">
        <v>26</v>
      </c>
      <c r="C494" t="s">
        <v>27</v>
      </c>
      <c r="D494">
        <v>43.15</v>
      </c>
      <c r="F494" s="3">
        <v>44120</v>
      </c>
      <c r="G494" s="2" t="str">
        <f t="shared" si="21"/>
        <v>October</v>
      </c>
      <c r="H494" s="2" t="str">
        <f t="shared" si="22"/>
        <v>Week 3</v>
      </c>
      <c r="I494" s="2" t="str">
        <f t="shared" si="23"/>
        <v>Quarter 4</v>
      </c>
    </row>
    <row r="495" spans="1:9" x14ac:dyDescent="0.25">
      <c r="A495">
        <v>2000084177</v>
      </c>
      <c r="B495" t="s">
        <v>26</v>
      </c>
      <c r="C495" t="s">
        <v>15</v>
      </c>
      <c r="D495">
        <v>7.55</v>
      </c>
      <c r="F495" s="3">
        <v>44120</v>
      </c>
      <c r="G495" s="2" t="str">
        <f t="shared" si="21"/>
        <v>October</v>
      </c>
      <c r="H495" s="2" t="str">
        <f t="shared" si="22"/>
        <v>Week 3</v>
      </c>
      <c r="I495" s="2" t="str">
        <f t="shared" si="23"/>
        <v>Quarter 4</v>
      </c>
    </row>
    <row r="496" spans="1:9" x14ac:dyDescent="0.25">
      <c r="A496">
        <v>2000084228</v>
      </c>
      <c r="B496" t="s">
        <v>26</v>
      </c>
      <c r="C496" t="s">
        <v>27</v>
      </c>
      <c r="D496">
        <v>11.95</v>
      </c>
      <c r="F496" s="3">
        <v>44120</v>
      </c>
      <c r="G496" s="2" t="str">
        <f t="shared" si="21"/>
        <v>October</v>
      </c>
      <c r="H496" s="2" t="str">
        <f t="shared" si="22"/>
        <v>Week 3</v>
      </c>
      <c r="I496" s="2" t="str">
        <f t="shared" si="23"/>
        <v>Quarter 4</v>
      </c>
    </row>
    <row r="497" spans="1:9" x14ac:dyDescent="0.25">
      <c r="A497">
        <v>2000084001</v>
      </c>
      <c r="B497" t="s">
        <v>26</v>
      </c>
      <c r="C497" t="s">
        <v>11</v>
      </c>
      <c r="D497">
        <v>746.8</v>
      </c>
      <c r="F497" s="3">
        <v>44120</v>
      </c>
      <c r="G497" s="2" t="str">
        <f t="shared" si="21"/>
        <v>October</v>
      </c>
      <c r="H497" s="2" t="str">
        <f t="shared" si="22"/>
        <v>Week 3</v>
      </c>
      <c r="I497" s="2" t="str">
        <f t="shared" si="23"/>
        <v>Quarter 4</v>
      </c>
    </row>
    <row r="498" spans="1:9" x14ac:dyDescent="0.25">
      <c r="A498">
        <v>2000084150</v>
      </c>
      <c r="B498" t="s">
        <v>26</v>
      </c>
      <c r="C498" t="s">
        <v>25</v>
      </c>
      <c r="D498">
        <v>28.5</v>
      </c>
      <c r="F498" s="3">
        <v>44120</v>
      </c>
      <c r="G498" s="2" t="str">
        <f t="shared" si="21"/>
        <v>October</v>
      </c>
      <c r="H498" s="2" t="str">
        <f t="shared" si="22"/>
        <v>Week 3</v>
      </c>
      <c r="I498" s="2" t="str">
        <f t="shared" si="23"/>
        <v>Quarter 4</v>
      </c>
    </row>
    <row r="499" spans="1:9" x14ac:dyDescent="0.25">
      <c r="A499">
        <v>2000084056</v>
      </c>
      <c r="B499" t="s">
        <v>26</v>
      </c>
      <c r="C499" t="s">
        <v>17</v>
      </c>
      <c r="D499">
        <v>87.6</v>
      </c>
      <c r="F499" s="3">
        <v>44120</v>
      </c>
      <c r="G499" s="2" t="str">
        <f t="shared" si="21"/>
        <v>October</v>
      </c>
      <c r="H499" s="2" t="str">
        <f t="shared" si="22"/>
        <v>Week 3</v>
      </c>
      <c r="I499" s="2" t="str">
        <f t="shared" si="23"/>
        <v>Quarter 4</v>
      </c>
    </row>
    <row r="500" spans="1:9" x14ac:dyDescent="0.25">
      <c r="A500">
        <v>2000084229</v>
      </c>
      <c r="B500" t="s">
        <v>26</v>
      </c>
      <c r="C500" t="s">
        <v>27</v>
      </c>
      <c r="D500">
        <v>15.1</v>
      </c>
      <c r="F500" s="3">
        <v>44120</v>
      </c>
      <c r="G500" s="2" t="str">
        <f t="shared" si="21"/>
        <v>October</v>
      </c>
      <c r="H500" s="2" t="str">
        <f t="shared" si="22"/>
        <v>Week 3</v>
      </c>
      <c r="I500" s="2" t="str">
        <f t="shared" si="23"/>
        <v>Quarter 4</v>
      </c>
    </row>
    <row r="501" spans="1:9" x14ac:dyDescent="0.25">
      <c r="A501">
        <v>2000084230</v>
      </c>
      <c r="B501" t="s">
        <v>26</v>
      </c>
      <c r="C501" t="s">
        <v>27</v>
      </c>
      <c r="D501">
        <v>15.4</v>
      </c>
      <c r="F501" s="3">
        <v>44120</v>
      </c>
      <c r="G501" s="2" t="str">
        <f t="shared" si="21"/>
        <v>October</v>
      </c>
      <c r="H501" s="2" t="str">
        <f t="shared" si="22"/>
        <v>Week 3</v>
      </c>
      <c r="I501" s="2" t="str">
        <f t="shared" si="23"/>
        <v>Quarter 4</v>
      </c>
    </row>
    <row r="502" spans="1:9" x14ac:dyDescent="0.25">
      <c r="A502">
        <v>2000083949</v>
      </c>
      <c r="B502" t="s">
        <v>26</v>
      </c>
      <c r="C502" t="s">
        <v>17</v>
      </c>
      <c r="D502">
        <v>100.9</v>
      </c>
      <c r="F502" s="3">
        <v>44120</v>
      </c>
      <c r="G502" s="2" t="str">
        <f t="shared" si="21"/>
        <v>October</v>
      </c>
      <c r="H502" s="2" t="str">
        <f t="shared" si="22"/>
        <v>Week 3</v>
      </c>
      <c r="I502" s="2" t="str">
        <f t="shared" si="23"/>
        <v>Quarter 4</v>
      </c>
    </row>
    <row r="503" spans="1:9" x14ac:dyDescent="0.25">
      <c r="A503">
        <v>2000083948</v>
      </c>
      <c r="B503" t="s">
        <v>26</v>
      </c>
      <c r="C503" t="s">
        <v>17</v>
      </c>
      <c r="D503">
        <v>100</v>
      </c>
      <c r="F503" s="3">
        <v>44120</v>
      </c>
      <c r="G503" s="2" t="str">
        <f t="shared" si="21"/>
        <v>October</v>
      </c>
      <c r="H503" s="2" t="str">
        <f t="shared" si="22"/>
        <v>Week 3</v>
      </c>
      <c r="I503" s="2" t="str">
        <f t="shared" si="23"/>
        <v>Quarter 4</v>
      </c>
    </row>
    <row r="504" spans="1:9" x14ac:dyDescent="0.25">
      <c r="A504">
        <v>2000084088</v>
      </c>
      <c r="B504" t="s">
        <v>26</v>
      </c>
      <c r="C504" t="s">
        <v>17</v>
      </c>
      <c r="D504">
        <v>176.13</v>
      </c>
      <c r="F504" s="3">
        <v>44120</v>
      </c>
      <c r="G504" s="2" t="str">
        <f t="shared" si="21"/>
        <v>October</v>
      </c>
      <c r="H504" s="2" t="str">
        <f t="shared" si="22"/>
        <v>Week 3</v>
      </c>
      <c r="I504" s="2" t="str">
        <f t="shared" si="23"/>
        <v>Quarter 4</v>
      </c>
    </row>
    <row r="505" spans="1:9" x14ac:dyDescent="0.25">
      <c r="A505">
        <v>2000084130</v>
      </c>
      <c r="B505" t="s">
        <v>26</v>
      </c>
      <c r="C505" t="s">
        <v>11</v>
      </c>
      <c r="D505">
        <v>233.15</v>
      </c>
      <c r="F505" s="3">
        <v>44120</v>
      </c>
      <c r="G505" s="2" t="str">
        <f t="shared" si="21"/>
        <v>October</v>
      </c>
      <c r="H505" s="2" t="str">
        <f t="shared" si="22"/>
        <v>Week 3</v>
      </c>
      <c r="I505" s="2" t="str">
        <f t="shared" si="23"/>
        <v>Quarter 4</v>
      </c>
    </row>
    <row r="506" spans="1:9" x14ac:dyDescent="0.25">
      <c r="A506">
        <v>2000084097</v>
      </c>
      <c r="B506" t="s">
        <v>26</v>
      </c>
      <c r="C506" t="s">
        <v>17</v>
      </c>
      <c r="D506">
        <v>186.46</v>
      </c>
      <c r="F506" s="3">
        <v>44120</v>
      </c>
      <c r="G506" s="2" t="str">
        <f t="shared" si="21"/>
        <v>October</v>
      </c>
      <c r="H506" s="2" t="str">
        <f t="shared" si="22"/>
        <v>Week 3</v>
      </c>
      <c r="I506" s="2" t="str">
        <f t="shared" si="23"/>
        <v>Quarter 4</v>
      </c>
    </row>
    <row r="507" spans="1:9" x14ac:dyDescent="0.25">
      <c r="A507">
        <v>2000084231</v>
      </c>
      <c r="B507" t="s">
        <v>26</v>
      </c>
      <c r="C507" t="s">
        <v>27</v>
      </c>
      <c r="D507">
        <v>44.25</v>
      </c>
      <c r="F507" s="3">
        <v>44120</v>
      </c>
      <c r="G507" s="2" t="str">
        <f t="shared" si="21"/>
        <v>October</v>
      </c>
      <c r="H507" s="2" t="str">
        <f t="shared" si="22"/>
        <v>Week 3</v>
      </c>
      <c r="I507" s="2" t="str">
        <f t="shared" si="23"/>
        <v>Quarter 4</v>
      </c>
    </row>
    <row r="508" spans="1:9" x14ac:dyDescent="0.25">
      <c r="A508">
        <v>2000084083</v>
      </c>
      <c r="B508" t="s">
        <v>26</v>
      </c>
      <c r="C508" t="s">
        <v>17</v>
      </c>
      <c r="D508">
        <v>163.95</v>
      </c>
      <c r="F508" s="3">
        <v>44120</v>
      </c>
      <c r="G508" s="2" t="str">
        <f t="shared" si="21"/>
        <v>October</v>
      </c>
      <c r="H508" s="2" t="str">
        <f t="shared" si="22"/>
        <v>Week 3</v>
      </c>
      <c r="I508" s="2" t="str">
        <f t="shared" si="23"/>
        <v>Quarter 4</v>
      </c>
    </row>
    <row r="509" spans="1:9" x14ac:dyDescent="0.25">
      <c r="A509">
        <v>2000084232</v>
      </c>
      <c r="B509" t="s">
        <v>26</v>
      </c>
      <c r="C509" t="s">
        <v>27</v>
      </c>
      <c r="D509">
        <v>38.5</v>
      </c>
      <c r="F509" s="3">
        <v>44120</v>
      </c>
      <c r="G509" s="2" t="str">
        <f t="shared" si="21"/>
        <v>October</v>
      </c>
      <c r="H509" s="2" t="str">
        <f t="shared" si="22"/>
        <v>Week 3</v>
      </c>
      <c r="I509" s="2" t="str">
        <f t="shared" si="23"/>
        <v>Quarter 4</v>
      </c>
    </row>
    <row r="510" spans="1:9" x14ac:dyDescent="0.25">
      <c r="A510">
        <v>2000084101</v>
      </c>
      <c r="B510" t="s">
        <v>26</v>
      </c>
      <c r="C510" t="s">
        <v>11</v>
      </c>
      <c r="D510">
        <v>269.2</v>
      </c>
      <c r="F510" s="3">
        <v>44120</v>
      </c>
      <c r="G510" s="2" t="str">
        <f t="shared" si="21"/>
        <v>October</v>
      </c>
      <c r="H510" s="2" t="str">
        <f t="shared" si="22"/>
        <v>Week 3</v>
      </c>
      <c r="I510" s="2" t="str">
        <f t="shared" si="23"/>
        <v>Quarter 4</v>
      </c>
    </row>
    <row r="511" spans="1:9" x14ac:dyDescent="0.25">
      <c r="A511">
        <v>2000084168</v>
      </c>
      <c r="B511" t="s">
        <v>26</v>
      </c>
      <c r="C511" t="s">
        <v>15</v>
      </c>
      <c r="D511">
        <v>15.5</v>
      </c>
      <c r="F511" s="3">
        <v>44120</v>
      </c>
      <c r="G511" s="2" t="str">
        <f t="shared" si="21"/>
        <v>October</v>
      </c>
      <c r="H511" s="2" t="str">
        <f t="shared" si="22"/>
        <v>Week 3</v>
      </c>
      <c r="I511" s="2" t="str">
        <f t="shared" si="23"/>
        <v>Quarter 4</v>
      </c>
    </row>
    <row r="512" spans="1:9" x14ac:dyDescent="0.25">
      <c r="A512">
        <v>2000084034</v>
      </c>
      <c r="B512" t="s">
        <v>26</v>
      </c>
      <c r="C512" t="s">
        <v>11</v>
      </c>
      <c r="D512">
        <v>397.05</v>
      </c>
      <c r="F512" s="3">
        <v>44120</v>
      </c>
      <c r="G512" s="2" t="str">
        <f t="shared" si="21"/>
        <v>October</v>
      </c>
      <c r="H512" s="2" t="str">
        <f t="shared" si="22"/>
        <v>Week 3</v>
      </c>
      <c r="I512" s="2" t="str">
        <f t="shared" si="23"/>
        <v>Quarter 4</v>
      </c>
    </row>
    <row r="513" spans="1:9" x14ac:dyDescent="0.25">
      <c r="A513">
        <v>2000084233</v>
      </c>
      <c r="B513" t="s">
        <v>26</v>
      </c>
      <c r="C513" t="s">
        <v>27</v>
      </c>
      <c r="D513">
        <v>5.05</v>
      </c>
      <c r="F513" s="3">
        <v>44120</v>
      </c>
      <c r="G513" s="2" t="str">
        <f t="shared" si="21"/>
        <v>October</v>
      </c>
      <c r="H513" s="2" t="str">
        <f t="shared" si="22"/>
        <v>Week 3</v>
      </c>
      <c r="I513" s="2" t="str">
        <f t="shared" si="23"/>
        <v>Quarter 4</v>
      </c>
    </row>
    <row r="514" spans="1:9" x14ac:dyDescent="0.25">
      <c r="A514">
        <v>2000083960</v>
      </c>
      <c r="B514" t="s">
        <v>26</v>
      </c>
      <c r="C514" t="s">
        <v>11</v>
      </c>
      <c r="D514">
        <v>2922.85</v>
      </c>
      <c r="F514" s="3">
        <v>44120</v>
      </c>
      <c r="G514" s="2" t="str">
        <f t="shared" si="21"/>
        <v>October</v>
      </c>
      <c r="H514" s="2" t="str">
        <f t="shared" si="22"/>
        <v>Week 3</v>
      </c>
      <c r="I514" s="2" t="str">
        <f t="shared" si="23"/>
        <v>Quarter 4</v>
      </c>
    </row>
    <row r="515" spans="1:9" x14ac:dyDescent="0.25">
      <c r="A515">
        <v>2000083961</v>
      </c>
      <c r="B515" t="s">
        <v>26</v>
      </c>
      <c r="C515" t="s">
        <v>11</v>
      </c>
      <c r="D515">
        <v>721.25</v>
      </c>
      <c r="F515" s="3">
        <v>44120</v>
      </c>
      <c r="G515" s="2" t="str">
        <f t="shared" ref="G515:G578" si="24">TEXT(F515,"mmmm")</f>
        <v>October</v>
      </c>
      <c r="H515" s="2" t="str">
        <f t="shared" ref="H515:H578" si="25">"Week "&amp;((WEEKNUM(F515)-WEEKNUM(DATE(YEAR(F515),MONTH(F515),1))+1))</f>
        <v>Week 3</v>
      </c>
      <c r="I515" s="2" t="str">
        <f t="shared" ref="I515:I578" si="26">"Quarter " &amp; ROUNDUP((MONTH(F515))/3,0)</f>
        <v>Quarter 4</v>
      </c>
    </row>
    <row r="516" spans="1:9" x14ac:dyDescent="0.25">
      <c r="A516">
        <v>2000084077</v>
      </c>
      <c r="B516" t="s">
        <v>26</v>
      </c>
      <c r="C516" t="s">
        <v>17</v>
      </c>
      <c r="D516">
        <v>142.44999999999999</v>
      </c>
      <c r="F516" s="3">
        <v>44120</v>
      </c>
      <c r="G516" s="2" t="str">
        <f t="shared" si="24"/>
        <v>October</v>
      </c>
      <c r="H516" s="2" t="str">
        <f t="shared" si="25"/>
        <v>Week 3</v>
      </c>
      <c r="I516" s="2" t="str">
        <f t="shared" si="26"/>
        <v>Quarter 4</v>
      </c>
    </row>
    <row r="517" spans="1:9" x14ac:dyDescent="0.25">
      <c r="A517">
        <v>2000084024</v>
      </c>
      <c r="B517" t="s">
        <v>26</v>
      </c>
      <c r="C517" t="s">
        <v>17</v>
      </c>
      <c r="D517">
        <v>66.55</v>
      </c>
      <c r="F517" s="3">
        <v>44120</v>
      </c>
      <c r="G517" s="2" t="str">
        <f t="shared" si="24"/>
        <v>October</v>
      </c>
      <c r="H517" s="2" t="str">
        <f t="shared" si="25"/>
        <v>Week 3</v>
      </c>
      <c r="I517" s="2" t="str">
        <f t="shared" si="26"/>
        <v>Quarter 4</v>
      </c>
    </row>
    <row r="518" spans="1:9" x14ac:dyDescent="0.25">
      <c r="A518">
        <v>2000084234</v>
      </c>
      <c r="B518" t="s">
        <v>26</v>
      </c>
      <c r="C518" t="s">
        <v>27</v>
      </c>
      <c r="D518">
        <v>15.2</v>
      </c>
      <c r="F518" s="3">
        <v>44120</v>
      </c>
      <c r="G518" s="2" t="str">
        <f t="shared" si="24"/>
        <v>October</v>
      </c>
      <c r="H518" s="2" t="str">
        <f t="shared" si="25"/>
        <v>Week 3</v>
      </c>
      <c r="I518" s="2" t="str">
        <f t="shared" si="26"/>
        <v>Quarter 4</v>
      </c>
    </row>
    <row r="519" spans="1:9" x14ac:dyDescent="0.25">
      <c r="A519">
        <v>2000084126</v>
      </c>
      <c r="B519" t="s">
        <v>26</v>
      </c>
      <c r="C519" t="s">
        <v>17</v>
      </c>
      <c r="D519">
        <v>208.15</v>
      </c>
      <c r="F519" s="3">
        <v>44120</v>
      </c>
      <c r="G519" s="2" t="str">
        <f t="shared" si="24"/>
        <v>October</v>
      </c>
      <c r="H519" s="2" t="str">
        <f t="shared" si="25"/>
        <v>Week 3</v>
      </c>
      <c r="I519" s="2" t="str">
        <f t="shared" si="26"/>
        <v>Quarter 4</v>
      </c>
    </row>
    <row r="520" spans="1:9" x14ac:dyDescent="0.25">
      <c r="A520">
        <v>2000084085</v>
      </c>
      <c r="B520" t="s">
        <v>26</v>
      </c>
      <c r="C520" t="s">
        <v>17</v>
      </c>
      <c r="D520">
        <v>170.15</v>
      </c>
      <c r="F520" s="3">
        <v>44120</v>
      </c>
      <c r="G520" s="2" t="str">
        <f t="shared" si="24"/>
        <v>October</v>
      </c>
      <c r="H520" s="2" t="str">
        <f t="shared" si="25"/>
        <v>Week 3</v>
      </c>
      <c r="I520" s="2" t="str">
        <f t="shared" si="26"/>
        <v>Quarter 4</v>
      </c>
    </row>
    <row r="521" spans="1:9" x14ac:dyDescent="0.25">
      <c r="A521">
        <v>2000084140</v>
      </c>
      <c r="B521" t="s">
        <v>26</v>
      </c>
      <c r="C521" t="s">
        <v>17</v>
      </c>
      <c r="D521">
        <v>68.099999999999994</v>
      </c>
      <c r="F521" s="3">
        <v>44120</v>
      </c>
      <c r="G521" s="2" t="str">
        <f t="shared" si="24"/>
        <v>October</v>
      </c>
      <c r="H521" s="2" t="str">
        <f t="shared" si="25"/>
        <v>Week 3</v>
      </c>
      <c r="I521" s="2" t="str">
        <f t="shared" si="26"/>
        <v>Quarter 4</v>
      </c>
    </row>
    <row r="522" spans="1:9" x14ac:dyDescent="0.25">
      <c r="A522">
        <v>2000084046</v>
      </c>
      <c r="B522" t="s">
        <v>26</v>
      </c>
      <c r="C522" t="s">
        <v>15</v>
      </c>
      <c r="D522">
        <v>7.8</v>
      </c>
      <c r="F522" s="3">
        <v>44120</v>
      </c>
      <c r="G522" s="2" t="str">
        <f t="shared" si="24"/>
        <v>October</v>
      </c>
      <c r="H522" s="2" t="str">
        <f t="shared" si="25"/>
        <v>Week 3</v>
      </c>
      <c r="I522" s="2" t="str">
        <f t="shared" si="26"/>
        <v>Quarter 4</v>
      </c>
    </row>
    <row r="523" spans="1:9" x14ac:dyDescent="0.25">
      <c r="A523">
        <v>2000083994</v>
      </c>
      <c r="B523" t="s">
        <v>26</v>
      </c>
      <c r="C523" t="s">
        <v>11</v>
      </c>
      <c r="D523">
        <v>922.75</v>
      </c>
      <c r="F523" s="3">
        <v>44120</v>
      </c>
      <c r="G523" s="2" t="str">
        <f t="shared" si="24"/>
        <v>October</v>
      </c>
      <c r="H523" s="2" t="str">
        <f t="shared" si="25"/>
        <v>Week 3</v>
      </c>
      <c r="I523" s="2" t="str">
        <f t="shared" si="26"/>
        <v>Quarter 4</v>
      </c>
    </row>
    <row r="524" spans="1:9" x14ac:dyDescent="0.25">
      <c r="A524">
        <v>2000084080</v>
      </c>
      <c r="B524" t="s">
        <v>26</v>
      </c>
      <c r="C524" t="s">
        <v>17</v>
      </c>
      <c r="D524">
        <v>153.55000000000001</v>
      </c>
      <c r="F524" s="3">
        <v>44120</v>
      </c>
      <c r="G524" s="2" t="str">
        <f t="shared" si="24"/>
        <v>October</v>
      </c>
      <c r="H524" s="2" t="str">
        <f t="shared" si="25"/>
        <v>Week 3</v>
      </c>
      <c r="I524" s="2" t="str">
        <f t="shared" si="26"/>
        <v>Quarter 4</v>
      </c>
    </row>
    <row r="525" spans="1:9" x14ac:dyDescent="0.25">
      <c r="A525">
        <v>2000084098</v>
      </c>
      <c r="B525" t="s">
        <v>26</v>
      </c>
      <c r="C525" t="s">
        <v>11</v>
      </c>
      <c r="D525">
        <v>295.39999999999998</v>
      </c>
      <c r="F525" s="3">
        <v>44120</v>
      </c>
      <c r="G525" s="2" t="str">
        <f t="shared" si="24"/>
        <v>October</v>
      </c>
      <c r="H525" s="2" t="str">
        <f t="shared" si="25"/>
        <v>Week 3</v>
      </c>
      <c r="I525" s="2" t="str">
        <f t="shared" si="26"/>
        <v>Quarter 4</v>
      </c>
    </row>
    <row r="526" spans="1:9" x14ac:dyDescent="0.25">
      <c r="A526">
        <v>2000084006</v>
      </c>
      <c r="B526" t="s">
        <v>26</v>
      </c>
      <c r="C526" t="s">
        <v>11</v>
      </c>
      <c r="D526">
        <v>635.07000000000005</v>
      </c>
      <c r="F526" s="3">
        <v>44120</v>
      </c>
      <c r="G526" s="2" t="str">
        <f t="shared" si="24"/>
        <v>October</v>
      </c>
      <c r="H526" s="2" t="str">
        <f t="shared" si="25"/>
        <v>Week 3</v>
      </c>
      <c r="I526" s="2" t="str">
        <f t="shared" si="26"/>
        <v>Quarter 4</v>
      </c>
    </row>
    <row r="527" spans="1:9" x14ac:dyDescent="0.25">
      <c r="A527">
        <v>2000083951</v>
      </c>
      <c r="B527" t="s">
        <v>26</v>
      </c>
      <c r="C527" t="s">
        <v>17</v>
      </c>
      <c r="D527">
        <v>112</v>
      </c>
      <c r="F527" s="3">
        <v>44120</v>
      </c>
      <c r="G527" s="2" t="str">
        <f t="shared" si="24"/>
        <v>October</v>
      </c>
      <c r="H527" s="2" t="str">
        <f t="shared" si="25"/>
        <v>Week 3</v>
      </c>
      <c r="I527" s="2" t="str">
        <f t="shared" si="26"/>
        <v>Quarter 4</v>
      </c>
    </row>
    <row r="528" spans="1:9" x14ac:dyDescent="0.25">
      <c r="A528">
        <v>2000084125</v>
      </c>
      <c r="B528" t="s">
        <v>26</v>
      </c>
      <c r="C528" t="s">
        <v>17</v>
      </c>
      <c r="D528">
        <v>206.85</v>
      </c>
      <c r="F528" s="3">
        <v>44120</v>
      </c>
      <c r="G528" s="2" t="str">
        <f t="shared" si="24"/>
        <v>October</v>
      </c>
      <c r="H528" s="2" t="str">
        <f t="shared" si="25"/>
        <v>Week 3</v>
      </c>
      <c r="I528" s="2" t="str">
        <f t="shared" si="26"/>
        <v>Quarter 4</v>
      </c>
    </row>
    <row r="529" spans="1:9" x14ac:dyDescent="0.25">
      <c r="A529">
        <v>2000084151</v>
      </c>
      <c r="B529" t="s">
        <v>26</v>
      </c>
      <c r="C529" t="s">
        <v>25</v>
      </c>
      <c r="D529">
        <v>23.45</v>
      </c>
      <c r="F529" s="3">
        <v>44120</v>
      </c>
      <c r="G529" s="2" t="str">
        <f t="shared" si="24"/>
        <v>October</v>
      </c>
      <c r="H529" s="2" t="str">
        <f t="shared" si="25"/>
        <v>Week 3</v>
      </c>
      <c r="I529" s="2" t="str">
        <f t="shared" si="26"/>
        <v>Quarter 4</v>
      </c>
    </row>
    <row r="530" spans="1:9" x14ac:dyDescent="0.25">
      <c r="A530">
        <v>2000084235</v>
      </c>
      <c r="B530" t="s">
        <v>26</v>
      </c>
      <c r="C530" t="s">
        <v>27</v>
      </c>
      <c r="D530">
        <v>13.2</v>
      </c>
      <c r="F530" s="3">
        <v>44120</v>
      </c>
      <c r="G530" s="2" t="str">
        <f t="shared" si="24"/>
        <v>October</v>
      </c>
      <c r="H530" s="2" t="str">
        <f t="shared" si="25"/>
        <v>Week 3</v>
      </c>
      <c r="I530" s="2" t="str">
        <f t="shared" si="26"/>
        <v>Quarter 4</v>
      </c>
    </row>
    <row r="531" spans="1:9" x14ac:dyDescent="0.25">
      <c r="A531">
        <v>2000084236</v>
      </c>
      <c r="B531" t="s">
        <v>26</v>
      </c>
      <c r="C531" t="s">
        <v>27</v>
      </c>
      <c r="D531">
        <v>191.3</v>
      </c>
      <c r="F531" s="3">
        <v>44120</v>
      </c>
      <c r="G531" s="2" t="str">
        <f t="shared" si="24"/>
        <v>October</v>
      </c>
      <c r="H531" s="2" t="str">
        <f t="shared" si="25"/>
        <v>Week 3</v>
      </c>
      <c r="I531" s="2" t="str">
        <f t="shared" si="26"/>
        <v>Quarter 4</v>
      </c>
    </row>
    <row r="532" spans="1:9" x14ac:dyDescent="0.25">
      <c r="A532">
        <v>2000084032</v>
      </c>
      <c r="B532" t="s">
        <v>26</v>
      </c>
      <c r="C532" t="s">
        <v>11</v>
      </c>
      <c r="D532">
        <v>439.05</v>
      </c>
      <c r="F532" s="3">
        <v>44120</v>
      </c>
      <c r="G532" s="2" t="str">
        <f t="shared" si="24"/>
        <v>October</v>
      </c>
      <c r="H532" s="2" t="str">
        <f t="shared" si="25"/>
        <v>Week 3</v>
      </c>
      <c r="I532" s="2" t="str">
        <f t="shared" si="26"/>
        <v>Quarter 4</v>
      </c>
    </row>
    <row r="533" spans="1:9" x14ac:dyDescent="0.25">
      <c r="A533">
        <v>2000084027</v>
      </c>
      <c r="B533" t="s">
        <v>26</v>
      </c>
      <c r="C533" t="s">
        <v>11</v>
      </c>
      <c r="D533">
        <v>496.45</v>
      </c>
      <c r="F533" s="3">
        <v>44120</v>
      </c>
      <c r="G533" s="2" t="str">
        <f t="shared" si="24"/>
        <v>October</v>
      </c>
      <c r="H533" s="2" t="str">
        <f t="shared" si="25"/>
        <v>Week 3</v>
      </c>
      <c r="I533" s="2" t="str">
        <f t="shared" si="26"/>
        <v>Quarter 4</v>
      </c>
    </row>
    <row r="534" spans="1:9" x14ac:dyDescent="0.25">
      <c r="A534">
        <v>2000084237</v>
      </c>
      <c r="B534" t="s">
        <v>26</v>
      </c>
      <c r="C534" t="s">
        <v>27</v>
      </c>
      <c r="D534">
        <v>22.6</v>
      </c>
      <c r="F534" s="3">
        <v>44120</v>
      </c>
      <c r="G534" s="2" t="str">
        <f t="shared" si="24"/>
        <v>October</v>
      </c>
      <c r="H534" s="2" t="str">
        <f t="shared" si="25"/>
        <v>Week 3</v>
      </c>
      <c r="I534" s="2" t="str">
        <f t="shared" si="26"/>
        <v>Quarter 4</v>
      </c>
    </row>
    <row r="535" spans="1:9" x14ac:dyDescent="0.25">
      <c r="A535">
        <v>2000084072</v>
      </c>
      <c r="B535" t="s">
        <v>26</v>
      </c>
      <c r="C535" t="s">
        <v>17</v>
      </c>
      <c r="D535">
        <v>131.05000000000001</v>
      </c>
      <c r="F535" s="3">
        <v>44120</v>
      </c>
      <c r="G535" s="2" t="str">
        <f t="shared" si="24"/>
        <v>October</v>
      </c>
      <c r="H535" s="2" t="str">
        <f t="shared" si="25"/>
        <v>Week 3</v>
      </c>
      <c r="I535" s="2" t="str">
        <f t="shared" si="26"/>
        <v>Quarter 4</v>
      </c>
    </row>
    <row r="536" spans="1:9" x14ac:dyDescent="0.25">
      <c r="A536">
        <v>2000084238</v>
      </c>
      <c r="B536" t="s">
        <v>26</v>
      </c>
      <c r="C536" t="s">
        <v>27</v>
      </c>
      <c r="D536">
        <v>7.8</v>
      </c>
      <c r="F536" s="3">
        <v>44120</v>
      </c>
      <c r="G536" s="2" t="str">
        <f t="shared" si="24"/>
        <v>October</v>
      </c>
      <c r="H536" s="2" t="str">
        <f t="shared" si="25"/>
        <v>Week 3</v>
      </c>
      <c r="I536" s="2" t="str">
        <f t="shared" si="26"/>
        <v>Quarter 4</v>
      </c>
    </row>
    <row r="537" spans="1:9" x14ac:dyDescent="0.25">
      <c r="A537">
        <v>2000084038</v>
      </c>
      <c r="B537" t="s">
        <v>26</v>
      </c>
      <c r="C537" t="s">
        <v>28</v>
      </c>
      <c r="D537">
        <v>299.14999999999998</v>
      </c>
      <c r="F537" s="3">
        <v>44120</v>
      </c>
      <c r="G537" s="2" t="str">
        <f t="shared" si="24"/>
        <v>October</v>
      </c>
      <c r="H537" s="2" t="str">
        <f t="shared" si="25"/>
        <v>Week 3</v>
      </c>
      <c r="I537" s="2" t="str">
        <f t="shared" si="26"/>
        <v>Quarter 4</v>
      </c>
    </row>
    <row r="538" spans="1:9" x14ac:dyDescent="0.25">
      <c r="A538">
        <v>2000083993</v>
      </c>
      <c r="B538" t="s">
        <v>26</v>
      </c>
      <c r="C538" t="s">
        <v>11</v>
      </c>
      <c r="D538">
        <v>968.45</v>
      </c>
      <c r="F538" s="3">
        <v>44120</v>
      </c>
      <c r="G538" s="2" t="str">
        <f t="shared" si="24"/>
        <v>October</v>
      </c>
      <c r="H538" s="2" t="str">
        <f t="shared" si="25"/>
        <v>Week 3</v>
      </c>
      <c r="I538" s="2" t="str">
        <f t="shared" si="26"/>
        <v>Quarter 4</v>
      </c>
    </row>
    <row r="539" spans="1:9" x14ac:dyDescent="0.25">
      <c r="A539">
        <v>2000084003</v>
      </c>
      <c r="B539" t="s">
        <v>26</v>
      </c>
      <c r="C539" t="s">
        <v>11</v>
      </c>
      <c r="D539">
        <v>687.85</v>
      </c>
      <c r="F539" s="3">
        <v>44120</v>
      </c>
      <c r="G539" s="2" t="str">
        <f t="shared" si="24"/>
        <v>October</v>
      </c>
      <c r="H539" s="2" t="str">
        <f t="shared" si="25"/>
        <v>Week 3</v>
      </c>
      <c r="I539" s="2" t="str">
        <f t="shared" si="26"/>
        <v>Quarter 4</v>
      </c>
    </row>
    <row r="540" spans="1:9" x14ac:dyDescent="0.25">
      <c r="A540">
        <v>2000084178</v>
      </c>
      <c r="B540" t="s">
        <v>26</v>
      </c>
      <c r="C540" t="s">
        <v>15</v>
      </c>
      <c r="D540">
        <v>61.2</v>
      </c>
      <c r="F540" s="3">
        <v>44120</v>
      </c>
      <c r="G540" s="2" t="str">
        <f t="shared" si="24"/>
        <v>October</v>
      </c>
      <c r="H540" s="2" t="str">
        <f t="shared" si="25"/>
        <v>Week 3</v>
      </c>
      <c r="I540" s="2" t="str">
        <f t="shared" si="26"/>
        <v>Quarter 4</v>
      </c>
    </row>
    <row r="541" spans="1:9" x14ac:dyDescent="0.25">
      <c r="A541">
        <v>2000084178</v>
      </c>
      <c r="B541" t="s">
        <v>26</v>
      </c>
      <c r="C541" t="s">
        <v>15</v>
      </c>
      <c r="D541">
        <v>15.35</v>
      </c>
      <c r="F541" s="3">
        <v>44120</v>
      </c>
      <c r="G541" s="2" t="str">
        <f t="shared" si="24"/>
        <v>October</v>
      </c>
      <c r="H541" s="2" t="str">
        <f t="shared" si="25"/>
        <v>Week 3</v>
      </c>
      <c r="I541" s="2" t="str">
        <f t="shared" si="26"/>
        <v>Quarter 4</v>
      </c>
    </row>
    <row r="542" spans="1:9" x14ac:dyDescent="0.25">
      <c r="A542">
        <v>2000084240</v>
      </c>
      <c r="B542" t="s">
        <v>26</v>
      </c>
      <c r="C542" t="s">
        <v>27</v>
      </c>
      <c r="D542">
        <v>20.5</v>
      </c>
      <c r="F542" s="3">
        <v>44120</v>
      </c>
      <c r="G542" s="2" t="str">
        <f t="shared" si="24"/>
        <v>October</v>
      </c>
      <c r="H542" s="2" t="str">
        <f t="shared" si="25"/>
        <v>Week 3</v>
      </c>
      <c r="I542" s="2" t="str">
        <f t="shared" si="26"/>
        <v>Quarter 4</v>
      </c>
    </row>
    <row r="543" spans="1:9" x14ac:dyDescent="0.25">
      <c r="A543">
        <v>2000084064</v>
      </c>
      <c r="B543" t="s">
        <v>26</v>
      </c>
      <c r="C543" t="s">
        <v>17</v>
      </c>
      <c r="D543">
        <v>116.65</v>
      </c>
      <c r="F543" s="3">
        <v>44120</v>
      </c>
      <c r="G543" s="2" t="str">
        <f t="shared" si="24"/>
        <v>October</v>
      </c>
      <c r="H543" s="2" t="str">
        <f t="shared" si="25"/>
        <v>Week 3</v>
      </c>
      <c r="I543" s="2" t="str">
        <f t="shared" si="26"/>
        <v>Quarter 4</v>
      </c>
    </row>
    <row r="544" spans="1:9" x14ac:dyDescent="0.25">
      <c r="A544">
        <v>2000083986</v>
      </c>
      <c r="B544" t="s">
        <v>26</v>
      </c>
      <c r="C544" t="s">
        <v>11</v>
      </c>
      <c r="D544">
        <v>1576.75</v>
      </c>
      <c r="F544" s="3">
        <v>44120</v>
      </c>
      <c r="G544" s="2" t="str">
        <f t="shared" si="24"/>
        <v>October</v>
      </c>
      <c r="H544" s="2" t="str">
        <f t="shared" si="25"/>
        <v>Week 3</v>
      </c>
      <c r="I544" s="2" t="str">
        <f t="shared" si="26"/>
        <v>Quarter 4</v>
      </c>
    </row>
    <row r="545" spans="1:9" x14ac:dyDescent="0.25">
      <c r="A545">
        <v>2000084110</v>
      </c>
      <c r="B545" t="s">
        <v>26</v>
      </c>
      <c r="C545" t="s">
        <v>11</v>
      </c>
      <c r="D545">
        <v>243.15</v>
      </c>
      <c r="F545" s="3">
        <v>44120</v>
      </c>
      <c r="G545" s="2" t="str">
        <f t="shared" si="24"/>
        <v>October</v>
      </c>
      <c r="H545" s="2" t="str">
        <f t="shared" si="25"/>
        <v>Week 3</v>
      </c>
      <c r="I545" s="2" t="str">
        <f t="shared" si="26"/>
        <v>Quarter 4</v>
      </c>
    </row>
    <row r="546" spans="1:9" x14ac:dyDescent="0.25">
      <c r="A546">
        <v>2000084241</v>
      </c>
      <c r="B546" t="s">
        <v>26</v>
      </c>
      <c r="C546" t="s">
        <v>27</v>
      </c>
      <c r="D546">
        <v>62.45</v>
      </c>
      <c r="F546" s="3">
        <v>44120</v>
      </c>
      <c r="G546" s="2" t="str">
        <f t="shared" si="24"/>
        <v>October</v>
      </c>
      <c r="H546" s="2" t="str">
        <f t="shared" si="25"/>
        <v>Week 3</v>
      </c>
      <c r="I546" s="2" t="str">
        <f t="shared" si="26"/>
        <v>Quarter 4</v>
      </c>
    </row>
    <row r="547" spans="1:9" x14ac:dyDescent="0.25">
      <c r="A547">
        <v>2000084028</v>
      </c>
      <c r="B547" t="s">
        <v>26</v>
      </c>
      <c r="C547" t="s">
        <v>11</v>
      </c>
      <c r="D547">
        <v>453.6</v>
      </c>
      <c r="F547" s="3">
        <v>44120</v>
      </c>
      <c r="G547" s="2" t="str">
        <f t="shared" si="24"/>
        <v>October</v>
      </c>
      <c r="H547" s="2" t="str">
        <f t="shared" si="25"/>
        <v>Week 3</v>
      </c>
      <c r="I547" s="2" t="str">
        <f t="shared" si="26"/>
        <v>Quarter 4</v>
      </c>
    </row>
    <row r="548" spans="1:9" x14ac:dyDescent="0.25">
      <c r="A548">
        <v>2000084036</v>
      </c>
      <c r="B548" t="s">
        <v>26</v>
      </c>
      <c r="C548" t="s">
        <v>11</v>
      </c>
      <c r="D548">
        <v>393.65</v>
      </c>
      <c r="F548" s="3">
        <v>44120</v>
      </c>
      <c r="G548" s="2" t="str">
        <f t="shared" si="24"/>
        <v>October</v>
      </c>
      <c r="H548" s="2" t="str">
        <f t="shared" si="25"/>
        <v>Week 3</v>
      </c>
      <c r="I548" s="2" t="str">
        <f t="shared" si="26"/>
        <v>Quarter 4</v>
      </c>
    </row>
    <row r="549" spans="1:9" x14ac:dyDescent="0.25">
      <c r="A549">
        <v>2000084242</v>
      </c>
      <c r="B549" t="s">
        <v>26</v>
      </c>
      <c r="C549" t="s">
        <v>27</v>
      </c>
      <c r="D549">
        <v>35.5</v>
      </c>
      <c r="F549" s="3">
        <v>44120</v>
      </c>
      <c r="G549" s="2" t="str">
        <f t="shared" si="24"/>
        <v>October</v>
      </c>
      <c r="H549" s="2" t="str">
        <f t="shared" si="25"/>
        <v>Week 3</v>
      </c>
      <c r="I549" s="2" t="str">
        <f t="shared" si="26"/>
        <v>Quarter 4</v>
      </c>
    </row>
    <row r="550" spans="1:9" x14ac:dyDescent="0.25">
      <c r="A550">
        <v>2000084010</v>
      </c>
      <c r="B550" t="s">
        <v>26</v>
      </c>
      <c r="C550" t="s">
        <v>11</v>
      </c>
      <c r="D550">
        <v>567.63</v>
      </c>
      <c r="F550" s="3">
        <v>44120</v>
      </c>
      <c r="G550" s="2" t="str">
        <f t="shared" si="24"/>
        <v>October</v>
      </c>
      <c r="H550" s="2" t="str">
        <f t="shared" si="25"/>
        <v>Week 3</v>
      </c>
      <c r="I550" s="2" t="str">
        <f t="shared" si="26"/>
        <v>Quarter 4</v>
      </c>
    </row>
    <row r="551" spans="1:9" x14ac:dyDescent="0.25">
      <c r="A551">
        <v>2000084053</v>
      </c>
      <c r="B551" t="s">
        <v>26</v>
      </c>
      <c r="C551" t="s">
        <v>17</v>
      </c>
      <c r="D551">
        <v>84.4</v>
      </c>
      <c r="F551" s="3">
        <v>44120</v>
      </c>
      <c r="G551" s="2" t="str">
        <f t="shared" si="24"/>
        <v>October</v>
      </c>
      <c r="H551" s="2" t="str">
        <f t="shared" si="25"/>
        <v>Week 3</v>
      </c>
      <c r="I551" s="2" t="str">
        <f t="shared" si="26"/>
        <v>Quarter 4</v>
      </c>
    </row>
    <row r="552" spans="1:9" x14ac:dyDescent="0.25">
      <c r="A552">
        <v>2000083939</v>
      </c>
      <c r="B552" t="s">
        <v>26</v>
      </c>
      <c r="C552" t="s">
        <v>11</v>
      </c>
      <c r="D552">
        <v>15509.95</v>
      </c>
      <c r="F552" s="3">
        <v>44120</v>
      </c>
      <c r="G552" s="2" t="str">
        <f t="shared" si="24"/>
        <v>October</v>
      </c>
      <c r="H552" s="2" t="str">
        <f t="shared" si="25"/>
        <v>Week 3</v>
      </c>
      <c r="I552" s="2" t="str">
        <f t="shared" si="26"/>
        <v>Quarter 4</v>
      </c>
    </row>
    <row r="553" spans="1:9" x14ac:dyDescent="0.25">
      <c r="A553">
        <v>2000084172</v>
      </c>
      <c r="B553" t="s">
        <v>26</v>
      </c>
      <c r="C553" t="s">
        <v>15</v>
      </c>
      <c r="D553">
        <v>10390.549999999999</v>
      </c>
      <c r="F553" s="3">
        <v>44120</v>
      </c>
      <c r="G553" s="2" t="str">
        <f t="shared" si="24"/>
        <v>October</v>
      </c>
      <c r="H553" s="2" t="str">
        <f t="shared" si="25"/>
        <v>Week 3</v>
      </c>
      <c r="I553" s="2" t="str">
        <f t="shared" si="26"/>
        <v>Quarter 4</v>
      </c>
    </row>
    <row r="554" spans="1:9" x14ac:dyDescent="0.25">
      <c r="A554">
        <v>2000083955</v>
      </c>
      <c r="B554" t="s">
        <v>26</v>
      </c>
      <c r="C554" t="s">
        <v>17</v>
      </c>
      <c r="D554">
        <v>122.4</v>
      </c>
      <c r="F554" s="3">
        <v>44120</v>
      </c>
      <c r="G554" s="2" t="str">
        <f t="shared" si="24"/>
        <v>October</v>
      </c>
      <c r="H554" s="2" t="str">
        <f t="shared" si="25"/>
        <v>Week 3</v>
      </c>
      <c r="I554" s="2" t="str">
        <f t="shared" si="26"/>
        <v>Quarter 4</v>
      </c>
    </row>
    <row r="555" spans="1:9" x14ac:dyDescent="0.25">
      <c r="A555">
        <v>2000084243</v>
      </c>
      <c r="B555" t="s">
        <v>26</v>
      </c>
      <c r="C555" t="s">
        <v>27</v>
      </c>
      <c r="D555">
        <v>15.35</v>
      </c>
      <c r="F555" s="3">
        <v>44120</v>
      </c>
      <c r="G555" s="2" t="str">
        <f t="shared" si="24"/>
        <v>October</v>
      </c>
      <c r="H555" s="2" t="str">
        <f t="shared" si="25"/>
        <v>Week 3</v>
      </c>
      <c r="I555" s="2" t="str">
        <f t="shared" si="26"/>
        <v>Quarter 4</v>
      </c>
    </row>
    <row r="556" spans="1:9" x14ac:dyDescent="0.25">
      <c r="A556">
        <v>2000083959</v>
      </c>
      <c r="B556" t="s">
        <v>26</v>
      </c>
      <c r="C556" t="s">
        <v>17</v>
      </c>
      <c r="D556">
        <v>129.38999999999999</v>
      </c>
      <c r="F556" s="3">
        <v>44120</v>
      </c>
      <c r="G556" s="2" t="str">
        <f t="shared" si="24"/>
        <v>October</v>
      </c>
      <c r="H556" s="2" t="str">
        <f t="shared" si="25"/>
        <v>Week 3</v>
      </c>
      <c r="I556" s="2" t="str">
        <f t="shared" si="26"/>
        <v>Quarter 4</v>
      </c>
    </row>
    <row r="557" spans="1:9" x14ac:dyDescent="0.25">
      <c r="A557">
        <v>2000084244</v>
      </c>
      <c r="B557" t="s">
        <v>26</v>
      </c>
      <c r="C557" t="s">
        <v>27</v>
      </c>
      <c r="D557">
        <v>54.55</v>
      </c>
      <c r="F557" s="3">
        <v>44120</v>
      </c>
      <c r="G557" s="2" t="str">
        <f t="shared" si="24"/>
        <v>October</v>
      </c>
      <c r="H557" s="2" t="str">
        <f t="shared" si="25"/>
        <v>Week 3</v>
      </c>
      <c r="I557" s="2" t="str">
        <f t="shared" si="26"/>
        <v>Quarter 4</v>
      </c>
    </row>
    <row r="558" spans="1:9" x14ac:dyDescent="0.25">
      <c r="A558">
        <v>2000084245</v>
      </c>
      <c r="B558" t="s">
        <v>26</v>
      </c>
      <c r="C558" t="s">
        <v>27</v>
      </c>
      <c r="D558">
        <v>15.4</v>
      </c>
      <c r="F558" s="3">
        <v>44120</v>
      </c>
      <c r="G558" s="2" t="str">
        <f t="shared" si="24"/>
        <v>October</v>
      </c>
      <c r="H558" s="2" t="str">
        <f t="shared" si="25"/>
        <v>Week 3</v>
      </c>
      <c r="I558" s="2" t="str">
        <f t="shared" si="26"/>
        <v>Quarter 4</v>
      </c>
    </row>
    <row r="559" spans="1:9" x14ac:dyDescent="0.25">
      <c r="A559">
        <v>2000083984</v>
      </c>
      <c r="B559" t="s">
        <v>26</v>
      </c>
      <c r="C559" t="s">
        <v>11</v>
      </c>
      <c r="D559">
        <v>1667.48</v>
      </c>
      <c r="F559" s="3">
        <v>44120</v>
      </c>
      <c r="G559" s="2" t="str">
        <f t="shared" si="24"/>
        <v>October</v>
      </c>
      <c r="H559" s="2" t="str">
        <f t="shared" si="25"/>
        <v>Week 3</v>
      </c>
      <c r="I559" s="2" t="str">
        <f t="shared" si="26"/>
        <v>Quarter 4</v>
      </c>
    </row>
    <row r="560" spans="1:9" x14ac:dyDescent="0.25">
      <c r="A560">
        <v>2000084029</v>
      </c>
      <c r="B560" t="s">
        <v>26</v>
      </c>
      <c r="C560" t="s">
        <v>11</v>
      </c>
      <c r="D560">
        <v>449.6</v>
      </c>
      <c r="F560" s="3">
        <v>44120</v>
      </c>
      <c r="G560" s="2" t="str">
        <f t="shared" si="24"/>
        <v>October</v>
      </c>
      <c r="H560" s="2" t="str">
        <f t="shared" si="25"/>
        <v>Week 3</v>
      </c>
      <c r="I560" s="2" t="str">
        <f t="shared" si="26"/>
        <v>Quarter 4</v>
      </c>
    </row>
    <row r="561" spans="1:9" x14ac:dyDescent="0.25">
      <c r="A561">
        <v>2000084050</v>
      </c>
      <c r="B561" t="s">
        <v>26</v>
      </c>
      <c r="C561" t="s">
        <v>11</v>
      </c>
      <c r="D561">
        <v>356.4</v>
      </c>
      <c r="F561" s="3">
        <v>44120</v>
      </c>
      <c r="G561" s="2" t="str">
        <f t="shared" si="24"/>
        <v>October</v>
      </c>
      <c r="H561" s="2" t="str">
        <f t="shared" si="25"/>
        <v>Week 3</v>
      </c>
      <c r="I561" s="2" t="str">
        <f t="shared" si="26"/>
        <v>Quarter 4</v>
      </c>
    </row>
    <row r="562" spans="1:9" x14ac:dyDescent="0.25">
      <c r="A562">
        <v>2000084176</v>
      </c>
      <c r="B562" t="s">
        <v>26</v>
      </c>
      <c r="C562" t="s">
        <v>15</v>
      </c>
      <c r="D562">
        <v>23.45</v>
      </c>
      <c r="F562" s="3">
        <v>44120</v>
      </c>
      <c r="G562" s="2" t="str">
        <f t="shared" si="24"/>
        <v>October</v>
      </c>
      <c r="H562" s="2" t="str">
        <f t="shared" si="25"/>
        <v>Week 3</v>
      </c>
      <c r="I562" s="2" t="str">
        <f t="shared" si="26"/>
        <v>Quarter 4</v>
      </c>
    </row>
    <row r="563" spans="1:9" x14ac:dyDescent="0.25">
      <c r="A563">
        <v>2000083982</v>
      </c>
      <c r="B563" t="s">
        <v>26</v>
      </c>
      <c r="C563" t="s">
        <v>11</v>
      </c>
      <c r="D563">
        <v>2250.4499999999998</v>
      </c>
      <c r="F563" s="3">
        <v>44120</v>
      </c>
      <c r="G563" s="2" t="str">
        <f t="shared" si="24"/>
        <v>October</v>
      </c>
      <c r="H563" s="2" t="str">
        <f t="shared" si="25"/>
        <v>Week 3</v>
      </c>
      <c r="I563" s="2" t="str">
        <f t="shared" si="26"/>
        <v>Quarter 4</v>
      </c>
    </row>
    <row r="564" spans="1:9" x14ac:dyDescent="0.25">
      <c r="A564">
        <v>2000083943</v>
      </c>
      <c r="B564" t="s">
        <v>26</v>
      </c>
      <c r="C564" t="s">
        <v>17</v>
      </c>
      <c r="D564">
        <v>96.9</v>
      </c>
      <c r="F564" s="3">
        <v>44120</v>
      </c>
      <c r="G564" s="2" t="str">
        <f t="shared" si="24"/>
        <v>October</v>
      </c>
      <c r="H564" s="2" t="str">
        <f t="shared" si="25"/>
        <v>Week 3</v>
      </c>
      <c r="I564" s="2" t="str">
        <f t="shared" si="26"/>
        <v>Quarter 4</v>
      </c>
    </row>
    <row r="565" spans="1:9" x14ac:dyDescent="0.25">
      <c r="A565">
        <v>2000084119</v>
      </c>
      <c r="B565" t="s">
        <v>26</v>
      </c>
      <c r="C565" t="s">
        <v>25</v>
      </c>
      <c r="D565">
        <v>25.7</v>
      </c>
      <c r="F565" s="3">
        <v>44120</v>
      </c>
      <c r="G565" s="2" t="str">
        <f t="shared" si="24"/>
        <v>October</v>
      </c>
      <c r="H565" s="2" t="str">
        <f t="shared" si="25"/>
        <v>Week 3</v>
      </c>
      <c r="I565" s="2" t="str">
        <f t="shared" si="26"/>
        <v>Quarter 4</v>
      </c>
    </row>
    <row r="566" spans="1:9" x14ac:dyDescent="0.25">
      <c r="A566">
        <v>2000084002</v>
      </c>
      <c r="B566" t="s">
        <v>26</v>
      </c>
      <c r="C566" t="s">
        <v>11</v>
      </c>
      <c r="D566">
        <v>736.45</v>
      </c>
      <c r="F566" s="3">
        <v>44120</v>
      </c>
      <c r="G566" s="2" t="str">
        <f t="shared" si="24"/>
        <v>October</v>
      </c>
      <c r="H566" s="2" t="str">
        <f t="shared" si="25"/>
        <v>Week 3</v>
      </c>
      <c r="I566" s="2" t="str">
        <f t="shared" si="26"/>
        <v>Quarter 4</v>
      </c>
    </row>
    <row r="567" spans="1:9" x14ac:dyDescent="0.25">
      <c r="A567">
        <v>2000084033</v>
      </c>
      <c r="B567" t="s">
        <v>26</v>
      </c>
      <c r="C567" t="s">
        <v>11</v>
      </c>
      <c r="D567">
        <v>410.55</v>
      </c>
      <c r="F567" s="3">
        <v>44120</v>
      </c>
      <c r="G567" s="2" t="str">
        <f t="shared" si="24"/>
        <v>October</v>
      </c>
      <c r="H567" s="2" t="str">
        <f t="shared" si="25"/>
        <v>Week 3</v>
      </c>
      <c r="I567" s="2" t="str">
        <f t="shared" si="26"/>
        <v>Quarter 4</v>
      </c>
    </row>
    <row r="568" spans="1:9" x14ac:dyDescent="0.25">
      <c r="A568">
        <v>2000083973</v>
      </c>
      <c r="B568" t="s">
        <v>26</v>
      </c>
      <c r="C568" t="s">
        <v>11</v>
      </c>
      <c r="D568">
        <v>1249.3</v>
      </c>
      <c r="F568" s="3">
        <v>44120</v>
      </c>
      <c r="G568" s="2" t="str">
        <f t="shared" si="24"/>
        <v>October</v>
      </c>
      <c r="H568" s="2" t="str">
        <f t="shared" si="25"/>
        <v>Week 3</v>
      </c>
      <c r="I568" s="2" t="str">
        <f t="shared" si="26"/>
        <v>Quarter 4</v>
      </c>
    </row>
    <row r="569" spans="1:9" x14ac:dyDescent="0.25">
      <c r="A569">
        <v>2000084025</v>
      </c>
      <c r="B569" t="s">
        <v>26</v>
      </c>
      <c r="C569" t="s">
        <v>17</v>
      </c>
      <c r="D569">
        <v>67</v>
      </c>
      <c r="F569" s="3">
        <v>44120</v>
      </c>
      <c r="G569" s="2" t="str">
        <f t="shared" si="24"/>
        <v>October</v>
      </c>
      <c r="H569" s="2" t="str">
        <f t="shared" si="25"/>
        <v>Week 3</v>
      </c>
      <c r="I569" s="2" t="str">
        <f t="shared" si="26"/>
        <v>Quarter 4</v>
      </c>
    </row>
    <row r="570" spans="1:9" x14ac:dyDescent="0.25">
      <c r="A570">
        <v>2000083941</v>
      </c>
      <c r="B570" t="s">
        <v>26</v>
      </c>
      <c r="C570" t="s">
        <v>17</v>
      </c>
      <c r="D570">
        <v>90.9</v>
      </c>
      <c r="F570" s="3">
        <v>44120</v>
      </c>
      <c r="G570" s="2" t="str">
        <f t="shared" si="24"/>
        <v>October</v>
      </c>
      <c r="H570" s="2" t="str">
        <f t="shared" si="25"/>
        <v>Week 3</v>
      </c>
      <c r="I570" s="2" t="str">
        <f t="shared" si="26"/>
        <v>Quarter 4</v>
      </c>
    </row>
    <row r="571" spans="1:9" x14ac:dyDescent="0.25">
      <c r="A571">
        <v>2000084017</v>
      </c>
      <c r="B571" t="s">
        <v>26</v>
      </c>
      <c r="C571" t="s">
        <v>11</v>
      </c>
      <c r="D571">
        <v>520.79999999999995</v>
      </c>
      <c r="F571" s="3">
        <v>44120</v>
      </c>
      <c r="G571" s="2" t="str">
        <f t="shared" si="24"/>
        <v>October</v>
      </c>
      <c r="H571" s="2" t="str">
        <f t="shared" si="25"/>
        <v>Week 3</v>
      </c>
      <c r="I571" s="2" t="str">
        <f t="shared" si="26"/>
        <v>Quarter 4</v>
      </c>
    </row>
    <row r="572" spans="1:9" x14ac:dyDescent="0.25">
      <c r="A572">
        <v>2000083983</v>
      </c>
      <c r="B572" t="s">
        <v>26</v>
      </c>
      <c r="C572" t="s">
        <v>11</v>
      </c>
      <c r="D572">
        <v>2085.25</v>
      </c>
      <c r="F572" s="3">
        <v>44120</v>
      </c>
      <c r="G572" s="2" t="str">
        <f t="shared" si="24"/>
        <v>October</v>
      </c>
      <c r="H572" s="2" t="str">
        <f t="shared" si="25"/>
        <v>Week 3</v>
      </c>
      <c r="I572" s="2" t="str">
        <f t="shared" si="26"/>
        <v>Quarter 4</v>
      </c>
    </row>
    <row r="573" spans="1:9" x14ac:dyDescent="0.25">
      <c r="A573">
        <v>2000084246</v>
      </c>
      <c r="B573" t="s">
        <v>26</v>
      </c>
      <c r="C573" t="s">
        <v>27</v>
      </c>
      <c r="D573">
        <v>31.15</v>
      </c>
      <c r="F573" s="3">
        <v>44120</v>
      </c>
      <c r="G573" s="2" t="str">
        <f t="shared" si="24"/>
        <v>October</v>
      </c>
      <c r="H573" s="2" t="str">
        <f t="shared" si="25"/>
        <v>Week 3</v>
      </c>
      <c r="I573" s="2" t="str">
        <f t="shared" si="26"/>
        <v>Quarter 4</v>
      </c>
    </row>
    <row r="574" spans="1:9" x14ac:dyDescent="0.25">
      <c r="A574">
        <v>2000084061</v>
      </c>
      <c r="B574" t="s">
        <v>26</v>
      </c>
      <c r="C574" t="s">
        <v>17</v>
      </c>
      <c r="D574">
        <v>106.4</v>
      </c>
      <c r="F574" s="3">
        <v>44120</v>
      </c>
      <c r="G574" s="2" t="str">
        <f t="shared" si="24"/>
        <v>October</v>
      </c>
      <c r="H574" s="2" t="str">
        <f t="shared" si="25"/>
        <v>Week 3</v>
      </c>
      <c r="I574" s="2" t="str">
        <f t="shared" si="26"/>
        <v>Quarter 4</v>
      </c>
    </row>
    <row r="575" spans="1:9" x14ac:dyDescent="0.25">
      <c r="A575">
        <v>2000084247</v>
      </c>
      <c r="B575" t="s">
        <v>26</v>
      </c>
      <c r="C575" t="s">
        <v>27</v>
      </c>
      <c r="D575">
        <v>7.8</v>
      </c>
      <c r="F575" s="3">
        <v>44120</v>
      </c>
      <c r="G575" s="2" t="str">
        <f t="shared" si="24"/>
        <v>October</v>
      </c>
      <c r="H575" s="2" t="str">
        <f t="shared" si="25"/>
        <v>Week 3</v>
      </c>
      <c r="I575" s="2" t="str">
        <f t="shared" si="26"/>
        <v>Quarter 4</v>
      </c>
    </row>
    <row r="576" spans="1:9" x14ac:dyDescent="0.25">
      <c r="A576">
        <v>2000084248</v>
      </c>
      <c r="B576" t="s">
        <v>26</v>
      </c>
      <c r="C576" t="s">
        <v>27</v>
      </c>
      <c r="D576">
        <v>25.15</v>
      </c>
      <c r="F576" s="3">
        <v>44120</v>
      </c>
      <c r="G576" s="2" t="str">
        <f t="shared" si="24"/>
        <v>October</v>
      </c>
      <c r="H576" s="2" t="str">
        <f t="shared" si="25"/>
        <v>Week 3</v>
      </c>
      <c r="I576" s="2" t="str">
        <f t="shared" si="26"/>
        <v>Quarter 4</v>
      </c>
    </row>
    <row r="577" spans="1:9" x14ac:dyDescent="0.25">
      <c r="A577">
        <v>2000083980</v>
      </c>
      <c r="B577" t="s">
        <v>26</v>
      </c>
      <c r="C577" t="s">
        <v>11</v>
      </c>
      <c r="D577">
        <v>1273.1500000000001</v>
      </c>
      <c r="F577" s="3">
        <v>44120</v>
      </c>
      <c r="G577" s="2" t="str">
        <f t="shared" si="24"/>
        <v>October</v>
      </c>
      <c r="H577" s="2" t="str">
        <f t="shared" si="25"/>
        <v>Week 3</v>
      </c>
      <c r="I577" s="2" t="str">
        <f t="shared" si="26"/>
        <v>Quarter 4</v>
      </c>
    </row>
    <row r="578" spans="1:9" x14ac:dyDescent="0.25">
      <c r="A578">
        <v>2000083981</v>
      </c>
      <c r="B578" t="s">
        <v>26</v>
      </c>
      <c r="C578" t="s">
        <v>11</v>
      </c>
      <c r="D578">
        <v>2413.15</v>
      </c>
      <c r="F578" s="3">
        <v>44120</v>
      </c>
      <c r="G578" s="2" t="str">
        <f t="shared" si="24"/>
        <v>October</v>
      </c>
      <c r="H578" s="2" t="str">
        <f t="shared" si="25"/>
        <v>Week 3</v>
      </c>
      <c r="I578" s="2" t="str">
        <f t="shared" si="26"/>
        <v>Quarter 4</v>
      </c>
    </row>
    <row r="579" spans="1:9" x14ac:dyDescent="0.25">
      <c r="A579">
        <v>2000084035</v>
      </c>
      <c r="B579" t="s">
        <v>26</v>
      </c>
      <c r="C579" t="s">
        <v>11</v>
      </c>
      <c r="D579">
        <v>396.6</v>
      </c>
      <c r="F579" s="3">
        <v>44120</v>
      </c>
      <c r="G579" s="2" t="str">
        <f t="shared" ref="G579:G642" si="27">TEXT(F579,"mmmm")</f>
        <v>October</v>
      </c>
      <c r="H579" s="2" t="str">
        <f t="shared" ref="H579:H642" si="28">"Week "&amp;((WEEKNUM(F579)-WEEKNUM(DATE(YEAR(F579),MONTH(F579),1))+1))</f>
        <v>Week 3</v>
      </c>
      <c r="I579" s="2" t="str">
        <f t="shared" ref="I579:I642" si="29">"Quarter " &amp; ROUNDUP((MONTH(F579))/3,0)</f>
        <v>Quarter 4</v>
      </c>
    </row>
    <row r="580" spans="1:9" x14ac:dyDescent="0.25">
      <c r="A580">
        <v>2000084067</v>
      </c>
      <c r="B580" t="s">
        <v>26</v>
      </c>
      <c r="C580" t="s">
        <v>17</v>
      </c>
      <c r="D580">
        <v>120</v>
      </c>
      <c r="F580" s="3">
        <v>44120</v>
      </c>
      <c r="G580" s="2" t="str">
        <f t="shared" si="27"/>
        <v>October</v>
      </c>
      <c r="H580" s="2" t="str">
        <f t="shared" si="28"/>
        <v>Week 3</v>
      </c>
      <c r="I580" s="2" t="str">
        <f t="shared" si="29"/>
        <v>Quarter 4</v>
      </c>
    </row>
    <row r="581" spans="1:9" x14ac:dyDescent="0.25">
      <c r="A581">
        <v>2000083954</v>
      </c>
      <c r="B581" t="s">
        <v>26</v>
      </c>
      <c r="C581" t="s">
        <v>17</v>
      </c>
      <c r="D581">
        <v>120.1</v>
      </c>
      <c r="F581" s="3">
        <v>44120</v>
      </c>
      <c r="G581" s="2" t="str">
        <f t="shared" si="27"/>
        <v>October</v>
      </c>
      <c r="H581" s="2" t="str">
        <f t="shared" si="28"/>
        <v>Week 3</v>
      </c>
      <c r="I581" s="2" t="str">
        <f t="shared" si="29"/>
        <v>Quarter 4</v>
      </c>
    </row>
    <row r="582" spans="1:9" x14ac:dyDescent="0.25">
      <c r="A582">
        <v>2000084128</v>
      </c>
      <c r="B582" t="s">
        <v>26</v>
      </c>
      <c r="C582" t="s">
        <v>11</v>
      </c>
      <c r="D582">
        <v>235.5</v>
      </c>
      <c r="F582" s="3">
        <v>44120</v>
      </c>
      <c r="G582" s="2" t="str">
        <f t="shared" si="27"/>
        <v>October</v>
      </c>
      <c r="H582" s="2" t="str">
        <f t="shared" si="28"/>
        <v>Week 3</v>
      </c>
      <c r="I582" s="2" t="str">
        <f t="shared" si="29"/>
        <v>Quarter 4</v>
      </c>
    </row>
    <row r="583" spans="1:9" x14ac:dyDescent="0.25">
      <c r="A583">
        <v>2000084249</v>
      </c>
      <c r="B583" t="s">
        <v>26</v>
      </c>
      <c r="C583" t="s">
        <v>27</v>
      </c>
      <c r="D583">
        <v>17</v>
      </c>
      <c r="F583" s="3">
        <v>44120</v>
      </c>
      <c r="G583" s="2" t="str">
        <f t="shared" si="27"/>
        <v>October</v>
      </c>
      <c r="H583" s="2" t="str">
        <f t="shared" si="28"/>
        <v>Week 3</v>
      </c>
      <c r="I583" s="2" t="str">
        <f t="shared" si="29"/>
        <v>Quarter 4</v>
      </c>
    </row>
    <row r="584" spans="1:9" x14ac:dyDescent="0.25">
      <c r="A584">
        <v>2000084074</v>
      </c>
      <c r="B584" t="s">
        <v>26</v>
      </c>
      <c r="C584" t="s">
        <v>11</v>
      </c>
      <c r="D584">
        <v>350</v>
      </c>
      <c r="F584" s="3">
        <v>44120</v>
      </c>
      <c r="G584" s="2" t="str">
        <f t="shared" si="27"/>
        <v>October</v>
      </c>
      <c r="H584" s="2" t="str">
        <f t="shared" si="28"/>
        <v>Week 3</v>
      </c>
      <c r="I584" s="2" t="str">
        <f t="shared" si="29"/>
        <v>Quarter 4</v>
      </c>
    </row>
    <row r="585" spans="1:9" x14ac:dyDescent="0.25">
      <c r="A585">
        <v>2000084250</v>
      </c>
      <c r="B585" t="s">
        <v>26</v>
      </c>
      <c r="C585" t="s">
        <v>27</v>
      </c>
      <c r="D585">
        <v>46.55</v>
      </c>
      <c r="F585" s="3">
        <v>44120</v>
      </c>
      <c r="G585" s="2" t="str">
        <f t="shared" si="27"/>
        <v>October</v>
      </c>
      <c r="H585" s="2" t="str">
        <f t="shared" si="28"/>
        <v>Week 3</v>
      </c>
      <c r="I585" s="2" t="str">
        <f t="shared" si="29"/>
        <v>Quarter 4</v>
      </c>
    </row>
    <row r="586" spans="1:9" x14ac:dyDescent="0.25">
      <c r="A586">
        <v>2000084251</v>
      </c>
      <c r="B586" t="s">
        <v>26</v>
      </c>
      <c r="C586" t="s">
        <v>27</v>
      </c>
      <c r="D586">
        <v>45.8</v>
      </c>
      <c r="F586" s="3">
        <v>44120</v>
      </c>
      <c r="G586" s="2" t="str">
        <f t="shared" si="27"/>
        <v>October</v>
      </c>
      <c r="H586" s="2" t="str">
        <f t="shared" si="28"/>
        <v>Week 3</v>
      </c>
      <c r="I586" s="2" t="str">
        <f t="shared" si="29"/>
        <v>Quarter 4</v>
      </c>
    </row>
    <row r="587" spans="1:9" x14ac:dyDescent="0.25">
      <c r="A587">
        <v>2000084093</v>
      </c>
      <c r="B587" t="s">
        <v>26</v>
      </c>
      <c r="C587" t="s">
        <v>17</v>
      </c>
      <c r="D587">
        <v>183</v>
      </c>
      <c r="F587" s="3">
        <v>44120</v>
      </c>
      <c r="G587" s="2" t="str">
        <f t="shared" si="27"/>
        <v>October</v>
      </c>
      <c r="H587" s="2" t="str">
        <f t="shared" si="28"/>
        <v>Week 3</v>
      </c>
      <c r="I587" s="2" t="str">
        <f t="shared" si="29"/>
        <v>Quarter 4</v>
      </c>
    </row>
    <row r="588" spans="1:9" x14ac:dyDescent="0.25">
      <c r="A588">
        <v>2000083946</v>
      </c>
      <c r="B588" t="s">
        <v>26</v>
      </c>
      <c r="C588" t="s">
        <v>11</v>
      </c>
      <c r="D588">
        <v>3213.75</v>
      </c>
      <c r="F588" s="3">
        <v>44120</v>
      </c>
      <c r="G588" s="2" t="str">
        <f t="shared" si="27"/>
        <v>October</v>
      </c>
      <c r="H588" s="2" t="str">
        <f t="shared" si="28"/>
        <v>Week 3</v>
      </c>
      <c r="I588" s="2" t="str">
        <f t="shared" si="29"/>
        <v>Quarter 4</v>
      </c>
    </row>
    <row r="589" spans="1:9" x14ac:dyDescent="0.25">
      <c r="A589">
        <v>2000083987</v>
      </c>
      <c r="B589" t="s">
        <v>26</v>
      </c>
      <c r="C589" t="s">
        <v>11</v>
      </c>
      <c r="D589">
        <v>12.95</v>
      </c>
      <c r="F589" s="3">
        <v>44120</v>
      </c>
      <c r="G589" s="2" t="str">
        <f t="shared" si="27"/>
        <v>October</v>
      </c>
      <c r="H589" s="2" t="str">
        <f t="shared" si="28"/>
        <v>Week 3</v>
      </c>
      <c r="I589" s="2" t="str">
        <f t="shared" si="29"/>
        <v>Quarter 4</v>
      </c>
    </row>
    <row r="590" spans="1:9" x14ac:dyDescent="0.25">
      <c r="A590">
        <v>2000083988</v>
      </c>
      <c r="B590" t="s">
        <v>26</v>
      </c>
      <c r="C590" t="s">
        <v>11</v>
      </c>
      <c r="D590">
        <v>1198.3499999999999</v>
      </c>
      <c r="F590" s="3">
        <v>44120</v>
      </c>
      <c r="G590" s="2" t="str">
        <f t="shared" si="27"/>
        <v>October</v>
      </c>
      <c r="H590" s="2" t="str">
        <f t="shared" si="28"/>
        <v>Week 3</v>
      </c>
      <c r="I590" s="2" t="str">
        <f t="shared" si="29"/>
        <v>Quarter 4</v>
      </c>
    </row>
    <row r="591" spans="1:9" x14ac:dyDescent="0.25">
      <c r="A591">
        <v>2000083970</v>
      </c>
      <c r="B591" t="s">
        <v>26</v>
      </c>
      <c r="C591" t="s">
        <v>17</v>
      </c>
      <c r="D591">
        <v>173.43</v>
      </c>
      <c r="F591" s="3">
        <v>44120</v>
      </c>
      <c r="G591" s="2" t="str">
        <f t="shared" si="27"/>
        <v>October</v>
      </c>
      <c r="H591" s="2" t="str">
        <f t="shared" si="28"/>
        <v>Week 3</v>
      </c>
      <c r="I591" s="2" t="str">
        <f t="shared" si="29"/>
        <v>Quarter 4</v>
      </c>
    </row>
    <row r="592" spans="1:9" x14ac:dyDescent="0.25">
      <c r="A592">
        <v>2000084082</v>
      </c>
      <c r="B592" t="s">
        <v>26</v>
      </c>
      <c r="C592" t="s">
        <v>17</v>
      </c>
      <c r="D592">
        <v>160.05000000000001</v>
      </c>
      <c r="F592" s="3">
        <v>44120</v>
      </c>
      <c r="G592" s="2" t="str">
        <f t="shared" si="27"/>
        <v>October</v>
      </c>
      <c r="H592" s="2" t="str">
        <f t="shared" si="28"/>
        <v>Week 3</v>
      </c>
      <c r="I592" s="2" t="str">
        <f t="shared" si="29"/>
        <v>Quarter 4</v>
      </c>
    </row>
    <row r="593" spans="1:9" x14ac:dyDescent="0.25">
      <c r="A593">
        <v>2000083971</v>
      </c>
      <c r="B593" t="s">
        <v>26</v>
      </c>
      <c r="C593" t="s">
        <v>11</v>
      </c>
      <c r="D593">
        <v>1373.93</v>
      </c>
      <c r="F593" s="3">
        <v>44120</v>
      </c>
      <c r="G593" s="2" t="str">
        <f t="shared" si="27"/>
        <v>October</v>
      </c>
      <c r="H593" s="2" t="str">
        <f t="shared" si="28"/>
        <v>Week 3</v>
      </c>
      <c r="I593" s="2" t="str">
        <f t="shared" si="29"/>
        <v>Quarter 4</v>
      </c>
    </row>
    <row r="594" spans="1:9" x14ac:dyDescent="0.25">
      <c r="A594">
        <v>2000084252</v>
      </c>
      <c r="B594" t="s">
        <v>26</v>
      </c>
      <c r="C594" t="s">
        <v>27</v>
      </c>
      <c r="D594">
        <v>320.57</v>
      </c>
      <c r="F594" s="3">
        <v>44120</v>
      </c>
      <c r="G594" s="2" t="str">
        <f t="shared" si="27"/>
        <v>October</v>
      </c>
      <c r="H594" s="2" t="str">
        <f t="shared" si="28"/>
        <v>Week 3</v>
      </c>
      <c r="I594" s="2" t="str">
        <f t="shared" si="29"/>
        <v>Quarter 4</v>
      </c>
    </row>
    <row r="595" spans="1:9" x14ac:dyDescent="0.25">
      <c r="A595">
        <v>2000083967</v>
      </c>
      <c r="B595" t="s">
        <v>26</v>
      </c>
      <c r="C595" t="s">
        <v>11</v>
      </c>
      <c r="D595">
        <v>1819.55</v>
      </c>
      <c r="F595" s="3">
        <v>44120</v>
      </c>
      <c r="G595" s="2" t="str">
        <f t="shared" si="27"/>
        <v>October</v>
      </c>
      <c r="H595" s="2" t="str">
        <f t="shared" si="28"/>
        <v>Week 3</v>
      </c>
      <c r="I595" s="2" t="str">
        <f t="shared" si="29"/>
        <v>Quarter 4</v>
      </c>
    </row>
    <row r="596" spans="1:9" x14ac:dyDescent="0.25">
      <c r="A596">
        <v>2000084026</v>
      </c>
      <c r="B596" t="s">
        <v>26</v>
      </c>
      <c r="C596" t="s">
        <v>11</v>
      </c>
      <c r="D596">
        <v>506.7</v>
      </c>
      <c r="F596" s="3">
        <v>44120</v>
      </c>
      <c r="G596" s="2" t="str">
        <f t="shared" si="27"/>
        <v>October</v>
      </c>
      <c r="H596" s="2" t="str">
        <f t="shared" si="28"/>
        <v>Week 3</v>
      </c>
      <c r="I596" s="2" t="str">
        <f t="shared" si="29"/>
        <v>Quarter 4</v>
      </c>
    </row>
    <row r="597" spans="1:9" x14ac:dyDescent="0.25">
      <c r="A597">
        <v>2000084084</v>
      </c>
      <c r="B597" t="s">
        <v>26</v>
      </c>
      <c r="C597" t="s">
        <v>17</v>
      </c>
      <c r="D597">
        <v>167.75</v>
      </c>
      <c r="F597" s="3">
        <v>44120</v>
      </c>
      <c r="G597" s="2" t="str">
        <f t="shared" si="27"/>
        <v>October</v>
      </c>
      <c r="H597" s="2" t="str">
        <f t="shared" si="28"/>
        <v>Week 3</v>
      </c>
      <c r="I597" s="2" t="str">
        <f t="shared" si="29"/>
        <v>Quarter 4</v>
      </c>
    </row>
    <row r="598" spans="1:9" x14ac:dyDescent="0.25">
      <c r="A598">
        <v>2000084134</v>
      </c>
      <c r="B598" t="s">
        <v>26</v>
      </c>
      <c r="C598" t="s">
        <v>17</v>
      </c>
      <c r="D598">
        <v>220.6</v>
      </c>
      <c r="F598" s="3">
        <v>44120</v>
      </c>
      <c r="G598" s="2" t="str">
        <f t="shared" si="27"/>
        <v>October</v>
      </c>
      <c r="H598" s="2" t="str">
        <f t="shared" si="28"/>
        <v>Week 3</v>
      </c>
      <c r="I598" s="2" t="str">
        <f t="shared" si="29"/>
        <v>Quarter 4</v>
      </c>
    </row>
    <row r="599" spans="1:9" x14ac:dyDescent="0.25">
      <c r="A599">
        <v>2000084253</v>
      </c>
      <c r="B599" t="s">
        <v>26</v>
      </c>
      <c r="C599" t="s">
        <v>27</v>
      </c>
      <c r="D599">
        <v>15.65</v>
      </c>
      <c r="F599" s="3">
        <v>44120</v>
      </c>
      <c r="G599" s="2" t="str">
        <f t="shared" si="27"/>
        <v>October</v>
      </c>
      <c r="H599" s="2" t="str">
        <f t="shared" si="28"/>
        <v>Week 3</v>
      </c>
      <c r="I599" s="2" t="str">
        <f t="shared" si="29"/>
        <v>Quarter 4</v>
      </c>
    </row>
    <row r="600" spans="1:9" x14ac:dyDescent="0.25">
      <c r="A600">
        <v>2000083944</v>
      </c>
      <c r="B600" t="s">
        <v>26</v>
      </c>
      <c r="C600" t="s">
        <v>11</v>
      </c>
      <c r="D600">
        <v>3546.2</v>
      </c>
      <c r="F600" s="3">
        <v>44120</v>
      </c>
      <c r="G600" s="2" t="str">
        <f t="shared" si="27"/>
        <v>October</v>
      </c>
      <c r="H600" s="2" t="str">
        <f t="shared" si="28"/>
        <v>Week 3</v>
      </c>
      <c r="I600" s="2" t="str">
        <f t="shared" si="29"/>
        <v>Quarter 4</v>
      </c>
    </row>
    <row r="601" spans="1:9" x14ac:dyDescent="0.25">
      <c r="A601">
        <v>2000083997</v>
      </c>
      <c r="B601" t="s">
        <v>26</v>
      </c>
      <c r="C601" t="s">
        <v>11</v>
      </c>
      <c r="D601">
        <v>812.25</v>
      </c>
      <c r="F601" s="3">
        <v>44120</v>
      </c>
      <c r="G601" s="2" t="str">
        <f t="shared" si="27"/>
        <v>October</v>
      </c>
      <c r="H601" s="2" t="str">
        <f t="shared" si="28"/>
        <v>Week 3</v>
      </c>
      <c r="I601" s="2" t="str">
        <f t="shared" si="29"/>
        <v>Quarter 4</v>
      </c>
    </row>
    <row r="602" spans="1:9" x14ac:dyDescent="0.25">
      <c r="A602">
        <v>2000084042</v>
      </c>
      <c r="B602" t="s">
        <v>26</v>
      </c>
      <c r="D602">
        <v>74.2</v>
      </c>
      <c r="F602" s="3">
        <v>44120</v>
      </c>
      <c r="G602" s="2" t="str">
        <f t="shared" si="27"/>
        <v>October</v>
      </c>
      <c r="H602" s="2" t="str">
        <f t="shared" si="28"/>
        <v>Week 3</v>
      </c>
      <c r="I602" s="2" t="str">
        <f t="shared" si="29"/>
        <v>Quarter 4</v>
      </c>
    </row>
    <row r="603" spans="1:9" x14ac:dyDescent="0.25">
      <c r="A603">
        <v>2000084254</v>
      </c>
      <c r="B603" t="s">
        <v>26</v>
      </c>
      <c r="D603">
        <v>33.5</v>
      </c>
      <c r="F603" s="3">
        <v>44120</v>
      </c>
      <c r="G603" s="2" t="str">
        <f t="shared" si="27"/>
        <v>October</v>
      </c>
      <c r="H603" s="2" t="str">
        <f t="shared" si="28"/>
        <v>Week 3</v>
      </c>
      <c r="I603" s="2" t="str">
        <f t="shared" si="29"/>
        <v>Quarter 4</v>
      </c>
    </row>
    <row r="604" spans="1:9" x14ac:dyDescent="0.25">
      <c r="A604">
        <v>2000084254</v>
      </c>
      <c r="B604" t="s">
        <v>26</v>
      </c>
      <c r="D604">
        <v>7.8</v>
      </c>
      <c r="F604" s="3">
        <v>44120</v>
      </c>
      <c r="G604" s="2" t="str">
        <f t="shared" si="27"/>
        <v>October</v>
      </c>
      <c r="H604" s="2" t="str">
        <f t="shared" si="28"/>
        <v>Week 3</v>
      </c>
      <c r="I604" s="2" t="str">
        <f t="shared" si="29"/>
        <v>Quarter 4</v>
      </c>
    </row>
    <row r="605" spans="1:9" x14ac:dyDescent="0.25">
      <c r="A605">
        <v>2000084255</v>
      </c>
      <c r="B605" t="s">
        <v>26</v>
      </c>
      <c r="D605">
        <v>53.85</v>
      </c>
      <c r="F605" s="3">
        <v>44120</v>
      </c>
      <c r="G605" s="2" t="str">
        <f t="shared" si="27"/>
        <v>October</v>
      </c>
      <c r="H605" s="2" t="str">
        <f t="shared" si="28"/>
        <v>Week 3</v>
      </c>
      <c r="I605" s="2" t="str">
        <f t="shared" si="29"/>
        <v>Quarter 4</v>
      </c>
    </row>
    <row r="606" spans="1:9" x14ac:dyDescent="0.25">
      <c r="A606">
        <v>2000084022</v>
      </c>
      <c r="B606" t="s">
        <v>26</v>
      </c>
      <c r="D606">
        <v>66.3</v>
      </c>
      <c r="F606" s="3">
        <v>44120</v>
      </c>
      <c r="G606" s="2" t="str">
        <f t="shared" si="27"/>
        <v>October</v>
      </c>
      <c r="H606" s="2" t="str">
        <f t="shared" si="28"/>
        <v>Week 3</v>
      </c>
      <c r="I606" s="2" t="str">
        <f t="shared" si="29"/>
        <v>Quarter 4</v>
      </c>
    </row>
    <row r="607" spans="1:9" x14ac:dyDescent="0.25">
      <c r="A607">
        <v>2000084037</v>
      </c>
      <c r="B607" t="s">
        <v>26</v>
      </c>
      <c r="D607">
        <v>387.86</v>
      </c>
      <c r="F607" s="3">
        <v>44120</v>
      </c>
      <c r="G607" s="2" t="str">
        <f t="shared" si="27"/>
        <v>October</v>
      </c>
      <c r="H607" s="2" t="str">
        <f t="shared" si="28"/>
        <v>Week 3</v>
      </c>
      <c r="I607" s="2" t="str">
        <f t="shared" si="29"/>
        <v>Quarter 4</v>
      </c>
    </row>
    <row r="608" spans="1:9" x14ac:dyDescent="0.25">
      <c r="A608">
        <v>2000084256</v>
      </c>
      <c r="B608" t="s">
        <v>26</v>
      </c>
      <c r="D608">
        <v>48.25</v>
      </c>
      <c r="F608" s="3">
        <v>44120</v>
      </c>
      <c r="G608" s="2" t="str">
        <f t="shared" si="27"/>
        <v>October</v>
      </c>
      <c r="H608" s="2" t="str">
        <f t="shared" si="28"/>
        <v>Week 3</v>
      </c>
      <c r="I608" s="2" t="str">
        <f t="shared" si="29"/>
        <v>Quarter 4</v>
      </c>
    </row>
    <row r="609" spans="1:9" x14ac:dyDescent="0.25">
      <c r="A609">
        <v>2000084257</v>
      </c>
      <c r="B609" t="s">
        <v>26</v>
      </c>
      <c r="D609">
        <v>7.8</v>
      </c>
      <c r="F609" s="3">
        <v>44120</v>
      </c>
      <c r="G609" s="2" t="str">
        <f t="shared" si="27"/>
        <v>October</v>
      </c>
      <c r="H609" s="2" t="str">
        <f t="shared" si="28"/>
        <v>Week 3</v>
      </c>
      <c r="I609" s="2" t="str">
        <f t="shared" si="29"/>
        <v>Quarter 4</v>
      </c>
    </row>
    <row r="610" spans="1:9" x14ac:dyDescent="0.25">
      <c r="A610">
        <v>2000084007</v>
      </c>
      <c r="B610" t="s">
        <v>26</v>
      </c>
      <c r="D610">
        <v>625.6</v>
      </c>
      <c r="F610" s="3">
        <v>44120</v>
      </c>
      <c r="G610" s="2" t="str">
        <f t="shared" si="27"/>
        <v>October</v>
      </c>
      <c r="H610" s="2" t="str">
        <f t="shared" si="28"/>
        <v>Week 3</v>
      </c>
      <c r="I610" s="2" t="str">
        <f t="shared" si="29"/>
        <v>Quarter 4</v>
      </c>
    </row>
    <row r="611" spans="1:9" x14ac:dyDescent="0.25">
      <c r="A611">
        <v>2000084100</v>
      </c>
      <c r="B611" t="s">
        <v>26</v>
      </c>
      <c r="D611">
        <v>273.97000000000003</v>
      </c>
      <c r="F611" s="3">
        <v>44120</v>
      </c>
      <c r="G611" s="2" t="str">
        <f t="shared" si="27"/>
        <v>October</v>
      </c>
      <c r="H611" s="2" t="str">
        <f t="shared" si="28"/>
        <v>Week 3</v>
      </c>
      <c r="I611" s="2" t="str">
        <f t="shared" si="29"/>
        <v>Quarter 4</v>
      </c>
    </row>
    <row r="612" spans="1:9" x14ac:dyDescent="0.25">
      <c r="A612">
        <v>2000084009</v>
      </c>
      <c r="B612" t="s">
        <v>26</v>
      </c>
      <c r="D612">
        <v>573.79999999999995</v>
      </c>
      <c r="F612" s="3">
        <v>44120</v>
      </c>
      <c r="G612" s="2" t="str">
        <f t="shared" si="27"/>
        <v>October</v>
      </c>
      <c r="H612" s="2" t="str">
        <f t="shared" si="28"/>
        <v>Week 3</v>
      </c>
      <c r="I612" s="2" t="str">
        <f t="shared" si="29"/>
        <v>Quarter 4</v>
      </c>
    </row>
    <row r="613" spans="1:9" x14ac:dyDescent="0.25">
      <c r="A613">
        <v>2000084131</v>
      </c>
      <c r="B613" t="s">
        <v>26</v>
      </c>
      <c r="D613">
        <v>212.7</v>
      </c>
      <c r="F613" s="3">
        <v>44120</v>
      </c>
      <c r="G613" s="2" t="str">
        <f t="shared" si="27"/>
        <v>October</v>
      </c>
      <c r="H613" s="2" t="str">
        <f t="shared" si="28"/>
        <v>Week 3</v>
      </c>
      <c r="I613" s="2" t="str">
        <f t="shared" si="29"/>
        <v>Quarter 4</v>
      </c>
    </row>
    <row r="614" spans="1:9" x14ac:dyDescent="0.25">
      <c r="A614">
        <v>2000083969</v>
      </c>
      <c r="B614" t="s">
        <v>26</v>
      </c>
      <c r="D614">
        <v>172.85</v>
      </c>
      <c r="F614" s="3">
        <v>44120</v>
      </c>
      <c r="G614" s="2" t="str">
        <f t="shared" si="27"/>
        <v>October</v>
      </c>
      <c r="H614" s="2" t="str">
        <f t="shared" si="28"/>
        <v>Week 3</v>
      </c>
      <c r="I614" s="2" t="str">
        <f t="shared" si="29"/>
        <v>Quarter 4</v>
      </c>
    </row>
    <row r="615" spans="1:9" x14ac:dyDescent="0.25">
      <c r="A615">
        <v>2000083963</v>
      </c>
      <c r="B615" t="s">
        <v>26</v>
      </c>
      <c r="D615">
        <v>137.69999999999999</v>
      </c>
      <c r="F615" s="3">
        <v>44120</v>
      </c>
      <c r="G615" s="2" t="str">
        <f t="shared" si="27"/>
        <v>October</v>
      </c>
      <c r="H615" s="2" t="str">
        <f t="shared" si="28"/>
        <v>Week 3</v>
      </c>
      <c r="I615" s="2" t="str">
        <f t="shared" si="29"/>
        <v>Quarter 4</v>
      </c>
    </row>
    <row r="616" spans="1:9" x14ac:dyDescent="0.25">
      <c r="A616">
        <v>2000084096</v>
      </c>
      <c r="B616" t="s">
        <v>26</v>
      </c>
      <c r="D616">
        <v>185.6</v>
      </c>
      <c r="F616" s="3">
        <v>44120</v>
      </c>
      <c r="G616" s="2" t="str">
        <f t="shared" si="27"/>
        <v>October</v>
      </c>
      <c r="H616" s="2" t="str">
        <f t="shared" si="28"/>
        <v>Week 3</v>
      </c>
      <c r="I616" s="2" t="str">
        <f t="shared" si="29"/>
        <v>Quarter 4</v>
      </c>
    </row>
    <row r="617" spans="1:9" x14ac:dyDescent="0.25">
      <c r="A617">
        <v>2000084004</v>
      </c>
      <c r="B617" t="s">
        <v>26</v>
      </c>
      <c r="D617">
        <v>677</v>
      </c>
      <c r="F617" s="3">
        <v>44120</v>
      </c>
      <c r="G617" s="2" t="str">
        <f t="shared" si="27"/>
        <v>October</v>
      </c>
      <c r="H617" s="2" t="str">
        <f t="shared" si="28"/>
        <v>Week 3</v>
      </c>
      <c r="I617" s="2" t="str">
        <f t="shared" si="29"/>
        <v>Quarter 4</v>
      </c>
    </row>
    <row r="618" spans="1:9" x14ac:dyDescent="0.25">
      <c r="A618">
        <v>2000084089</v>
      </c>
      <c r="B618" t="s">
        <v>26</v>
      </c>
      <c r="D618">
        <v>311.89999999999998</v>
      </c>
      <c r="F618" s="3">
        <v>44120</v>
      </c>
      <c r="G618" s="2" t="str">
        <f t="shared" si="27"/>
        <v>October</v>
      </c>
      <c r="H618" s="2" t="str">
        <f t="shared" si="28"/>
        <v>Week 3</v>
      </c>
      <c r="I618" s="2" t="str">
        <f t="shared" si="29"/>
        <v>Quarter 4</v>
      </c>
    </row>
    <row r="619" spans="1:9" x14ac:dyDescent="0.25">
      <c r="A619">
        <v>2000083977</v>
      </c>
      <c r="B619" t="s">
        <v>26</v>
      </c>
      <c r="D619">
        <v>992.15</v>
      </c>
      <c r="F619" s="3">
        <v>44120</v>
      </c>
      <c r="G619" s="2" t="str">
        <f t="shared" si="27"/>
        <v>October</v>
      </c>
      <c r="H619" s="2" t="str">
        <f t="shared" si="28"/>
        <v>Week 3</v>
      </c>
      <c r="I619" s="2" t="str">
        <f t="shared" si="29"/>
        <v>Quarter 4</v>
      </c>
    </row>
    <row r="620" spans="1:9" x14ac:dyDescent="0.25">
      <c r="A620">
        <v>2000084079</v>
      </c>
      <c r="B620" t="s">
        <v>26</v>
      </c>
      <c r="D620">
        <v>316.64999999999998</v>
      </c>
      <c r="F620" s="3">
        <v>44120</v>
      </c>
      <c r="G620" s="2" t="str">
        <f t="shared" si="27"/>
        <v>October</v>
      </c>
      <c r="H620" s="2" t="str">
        <f t="shared" si="28"/>
        <v>Week 3</v>
      </c>
      <c r="I620" s="2" t="str">
        <f t="shared" si="29"/>
        <v>Quarter 4</v>
      </c>
    </row>
    <row r="621" spans="1:9" x14ac:dyDescent="0.25">
      <c r="A621">
        <v>2000083911</v>
      </c>
      <c r="B621" t="s">
        <v>26</v>
      </c>
      <c r="D621">
        <v>10</v>
      </c>
      <c r="F621" s="3">
        <v>44120</v>
      </c>
      <c r="G621" s="2" t="str">
        <f t="shared" si="27"/>
        <v>October</v>
      </c>
      <c r="H621" s="2" t="str">
        <f t="shared" si="28"/>
        <v>Week 3</v>
      </c>
      <c r="I621" s="2" t="str">
        <f t="shared" si="29"/>
        <v>Quarter 4</v>
      </c>
    </row>
    <row r="622" spans="1:9" x14ac:dyDescent="0.25">
      <c r="A622">
        <v>2000083912</v>
      </c>
      <c r="B622" t="s">
        <v>26</v>
      </c>
      <c r="D622">
        <v>7.7</v>
      </c>
      <c r="F622" s="3">
        <v>44120</v>
      </c>
      <c r="G622" s="2" t="str">
        <f t="shared" si="27"/>
        <v>October</v>
      </c>
      <c r="H622" s="2" t="str">
        <f t="shared" si="28"/>
        <v>Week 3</v>
      </c>
      <c r="I622" s="2" t="str">
        <f t="shared" si="29"/>
        <v>Quarter 4</v>
      </c>
    </row>
    <row r="623" spans="1:9" x14ac:dyDescent="0.25">
      <c r="A623">
        <v>2000083913</v>
      </c>
      <c r="B623" t="s">
        <v>26</v>
      </c>
      <c r="D623">
        <v>15.65</v>
      </c>
      <c r="F623" s="3">
        <v>44120</v>
      </c>
      <c r="G623" s="2" t="str">
        <f t="shared" si="27"/>
        <v>October</v>
      </c>
      <c r="H623" s="2" t="str">
        <f t="shared" si="28"/>
        <v>Week 3</v>
      </c>
      <c r="I623" s="2" t="str">
        <f t="shared" si="29"/>
        <v>Quarter 4</v>
      </c>
    </row>
    <row r="624" spans="1:9" x14ac:dyDescent="0.25">
      <c r="A624">
        <v>2000084115</v>
      </c>
      <c r="B624" t="s">
        <v>26</v>
      </c>
      <c r="D624">
        <v>79.95</v>
      </c>
      <c r="F624" s="3">
        <v>44120</v>
      </c>
      <c r="G624" s="2" t="str">
        <f t="shared" si="27"/>
        <v>October</v>
      </c>
      <c r="H624" s="2" t="str">
        <f t="shared" si="28"/>
        <v>Week 3</v>
      </c>
      <c r="I624" s="2" t="str">
        <f t="shared" si="29"/>
        <v>Quarter 4</v>
      </c>
    </row>
    <row r="625" spans="1:9" x14ac:dyDescent="0.25">
      <c r="A625">
        <v>2000083933</v>
      </c>
      <c r="B625" t="s">
        <v>26</v>
      </c>
      <c r="D625">
        <v>189.75</v>
      </c>
      <c r="F625" s="3">
        <v>44120</v>
      </c>
      <c r="G625" s="2" t="str">
        <f t="shared" si="27"/>
        <v>October</v>
      </c>
      <c r="H625" s="2" t="str">
        <f t="shared" si="28"/>
        <v>Week 3</v>
      </c>
      <c r="I625" s="2" t="str">
        <f t="shared" si="29"/>
        <v>Quarter 4</v>
      </c>
    </row>
    <row r="626" spans="1:9" x14ac:dyDescent="0.25">
      <c r="A626">
        <v>2000083918</v>
      </c>
      <c r="B626" t="s">
        <v>26</v>
      </c>
      <c r="D626">
        <v>7.7</v>
      </c>
      <c r="F626" s="3">
        <v>44120</v>
      </c>
      <c r="G626" s="2" t="str">
        <f t="shared" si="27"/>
        <v>October</v>
      </c>
      <c r="H626" s="2" t="str">
        <f t="shared" si="28"/>
        <v>Week 3</v>
      </c>
      <c r="I626" s="2" t="str">
        <f t="shared" si="29"/>
        <v>Quarter 4</v>
      </c>
    </row>
    <row r="627" spans="1:9" x14ac:dyDescent="0.25">
      <c r="A627">
        <v>2000084058</v>
      </c>
      <c r="B627" t="s">
        <v>26</v>
      </c>
      <c r="D627">
        <v>281.5</v>
      </c>
      <c r="F627" s="3">
        <v>44120</v>
      </c>
      <c r="G627" s="2" t="str">
        <f t="shared" si="27"/>
        <v>October</v>
      </c>
      <c r="H627" s="2" t="str">
        <f t="shared" si="28"/>
        <v>Week 3</v>
      </c>
      <c r="I627" s="2" t="str">
        <f t="shared" si="29"/>
        <v>Quarter 4</v>
      </c>
    </row>
    <row r="628" spans="1:9" x14ac:dyDescent="0.25">
      <c r="A628">
        <v>2000084062</v>
      </c>
      <c r="B628" t="s">
        <v>26</v>
      </c>
      <c r="D628">
        <v>468.95</v>
      </c>
      <c r="F628" s="3">
        <v>44120</v>
      </c>
      <c r="G628" s="2" t="str">
        <f t="shared" si="27"/>
        <v>October</v>
      </c>
      <c r="H628" s="2" t="str">
        <f t="shared" si="28"/>
        <v>Week 3</v>
      </c>
      <c r="I628" s="2" t="str">
        <f t="shared" si="29"/>
        <v>Quarter 4</v>
      </c>
    </row>
    <row r="629" spans="1:9" x14ac:dyDescent="0.25">
      <c r="A629">
        <v>2000083919</v>
      </c>
      <c r="B629" t="s">
        <v>26</v>
      </c>
      <c r="D629">
        <v>12.65</v>
      </c>
      <c r="F629" s="3">
        <v>44120</v>
      </c>
      <c r="G629" s="2" t="str">
        <f t="shared" si="27"/>
        <v>October</v>
      </c>
      <c r="H629" s="2" t="str">
        <f t="shared" si="28"/>
        <v>Week 3</v>
      </c>
      <c r="I629" s="2" t="str">
        <f t="shared" si="29"/>
        <v>Quarter 4</v>
      </c>
    </row>
    <row r="630" spans="1:9" x14ac:dyDescent="0.25">
      <c r="A630">
        <v>2000083920</v>
      </c>
      <c r="B630" t="s">
        <v>26</v>
      </c>
      <c r="D630">
        <v>7.8</v>
      </c>
      <c r="F630" s="3">
        <v>44120</v>
      </c>
      <c r="G630" s="2" t="str">
        <f t="shared" si="27"/>
        <v>October</v>
      </c>
      <c r="H630" s="2" t="str">
        <f t="shared" si="28"/>
        <v>Week 3</v>
      </c>
      <c r="I630" s="2" t="str">
        <f t="shared" si="29"/>
        <v>Quarter 4</v>
      </c>
    </row>
    <row r="631" spans="1:9" x14ac:dyDescent="0.25">
      <c r="A631">
        <v>2000083932</v>
      </c>
      <c r="B631" t="s">
        <v>26</v>
      </c>
      <c r="D631">
        <v>77</v>
      </c>
      <c r="F631" s="3">
        <v>44120</v>
      </c>
      <c r="G631" s="2" t="str">
        <f t="shared" si="27"/>
        <v>October</v>
      </c>
      <c r="H631" s="2" t="str">
        <f t="shared" si="28"/>
        <v>Week 3</v>
      </c>
      <c r="I631" s="2" t="str">
        <f t="shared" si="29"/>
        <v>Quarter 4</v>
      </c>
    </row>
    <row r="632" spans="1:9" x14ac:dyDescent="0.25">
      <c r="A632">
        <v>2000083932</v>
      </c>
      <c r="B632" t="s">
        <v>26</v>
      </c>
      <c r="D632">
        <v>34.6</v>
      </c>
      <c r="F632" s="3">
        <v>44120</v>
      </c>
      <c r="G632" s="2" t="str">
        <f t="shared" si="27"/>
        <v>October</v>
      </c>
      <c r="H632" s="2" t="str">
        <f t="shared" si="28"/>
        <v>Week 3</v>
      </c>
      <c r="I632" s="2" t="str">
        <f t="shared" si="29"/>
        <v>Quarter 4</v>
      </c>
    </row>
    <row r="633" spans="1:9" x14ac:dyDescent="0.25">
      <c r="A633">
        <v>2000083921</v>
      </c>
      <c r="B633" t="s">
        <v>26</v>
      </c>
      <c r="D633">
        <v>28.65</v>
      </c>
      <c r="F633" s="3">
        <v>44120</v>
      </c>
      <c r="G633" s="2" t="str">
        <f t="shared" si="27"/>
        <v>October</v>
      </c>
      <c r="H633" s="2" t="str">
        <f t="shared" si="28"/>
        <v>Week 3</v>
      </c>
      <c r="I633" s="2" t="str">
        <f t="shared" si="29"/>
        <v>Quarter 4</v>
      </c>
    </row>
    <row r="634" spans="1:9" x14ac:dyDescent="0.25">
      <c r="A634">
        <v>2000083922</v>
      </c>
      <c r="B634" t="s">
        <v>26</v>
      </c>
      <c r="D634">
        <v>5.6</v>
      </c>
      <c r="F634" s="3">
        <v>44120</v>
      </c>
      <c r="G634" s="2" t="str">
        <f t="shared" si="27"/>
        <v>October</v>
      </c>
      <c r="H634" s="2" t="str">
        <f t="shared" si="28"/>
        <v>Week 3</v>
      </c>
      <c r="I634" s="2" t="str">
        <f t="shared" si="29"/>
        <v>Quarter 4</v>
      </c>
    </row>
    <row r="635" spans="1:9" x14ac:dyDescent="0.25">
      <c r="A635">
        <v>2000083923</v>
      </c>
      <c r="B635" t="s">
        <v>26</v>
      </c>
      <c r="D635">
        <v>377.4</v>
      </c>
      <c r="F635" s="3">
        <v>44120</v>
      </c>
      <c r="G635" s="2" t="str">
        <f t="shared" si="27"/>
        <v>October</v>
      </c>
      <c r="H635" s="2" t="str">
        <f t="shared" si="28"/>
        <v>Week 3</v>
      </c>
      <c r="I635" s="2" t="str">
        <f t="shared" si="29"/>
        <v>Quarter 4</v>
      </c>
    </row>
    <row r="636" spans="1:9" x14ac:dyDescent="0.25">
      <c r="A636">
        <v>2000083924</v>
      </c>
      <c r="B636" t="s">
        <v>26</v>
      </c>
      <c r="D636">
        <v>15.1</v>
      </c>
      <c r="F636" s="3">
        <v>44120</v>
      </c>
      <c r="G636" s="2" t="str">
        <f t="shared" si="27"/>
        <v>October</v>
      </c>
      <c r="H636" s="2" t="str">
        <f t="shared" si="28"/>
        <v>Week 3</v>
      </c>
      <c r="I636" s="2" t="str">
        <f t="shared" si="29"/>
        <v>Quarter 4</v>
      </c>
    </row>
    <row r="637" spans="1:9" x14ac:dyDescent="0.25">
      <c r="A637">
        <v>2000083925</v>
      </c>
      <c r="B637" t="s">
        <v>26</v>
      </c>
      <c r="D637">
        <v>7.55</v>
      </c>
      <c r="F637" s="3">
        <v>44120</v>
      </c>
      <c r="G637" s="2" t="str">
        <f t="shared" si="27"/>
        <v>October</v>
      </c>
      <c r="H637" s="2" t="str">
        <f t="shared" si="28"/>
        <v>Week 3</v>
      </c>
      <c r="I637" s="2" t="str">
        <f t="shared" si="29"/>
        <v>Quarter 4</v>
      </c>
    </row>
    <row r="638" spans="1:9" x14ac:dyDescent="0.25">
      <c r="A638">
        <v>2000083926</v>
      </c>
      <c r="B638" t="s">
        <v>26</v>
      </c>
      <c r="D638">
        <v>25.65</v>
      </c>
      <c r="F638" s="3">
        <v>44120</v>
      </c>
      <c r="G638" s="2" t="str">
        <f t="shared" si="27"/>
        <v>October</v>
      </c>
      <c r="H638" s="2" t="str">
        <f t="shared" si="28"/>
        <v>Week 3</v>
      </c>
      <c r="I638" s="2" t="str">
        <f t="shared" si="29"/>
        <v>Quarter 4</v>
      </c>
    </row>
    <row r="639" spans="1:9" x14ac:dyDescent="0.25">
      <c r="A639">
        <v>2000083937</v>
      </c>
      <c r="B639" t="s">
        <v>26</v>
      </c>
      <c r="D639">
        <v>23.47</v>
      </c>
      <c r="F639" s="3">
        <v>44120</v>
      </c>
      <c r="G639" s="2" t="str">
        <f t="shared" si="27"/>
        <v>October</v>
      </c>
      <c r="H639" s="2" t="str">
        <f t="shared" si="28"/>
        <v>Week 3</v>
      </c>
      <c r="I639" s="2" t="str">
        <f t="shared" si="29"/>
        <v>Quarter 4</v>
      </c>
    </row>
    <row r="640" spans="1:9" x14ac:dyDescent="0.25">
      <c r="A640">
        <v>2000083927</v>
      </c>
      <c r="B640" t="s">
        <v>26</v>
      </c>
      <c r="D640">
        <v>20.2</v>
      </c>
      <c r="F640" s="3">
        <v>44120</v>
      </c>
      <c r="G640" s="2" t="str">
        <f t="shared" si="27"/>
        <v>October</v>
      </c>
      <c r="H640" s="2" t="str">
        <f t="shared" si="28"/>
        <v>Week 3</v>
      </c>
      <c r="I640" s="2" t="str">
        <f t="shared" si="29"/>
        <v>Quarter 4</v>
      </c>
    </row>
    <row r="641" spans="1:9" x14ac:dyDescent="0.25">
      <c r="A641">
        <v>2000083929</v>
      </c>
      <c r="B641" t="s">
        <v>26</v>
      </c>
      <c r="D641">
        <v>13.2</v>
      </c>
      <c r="F641" s="3">
        <v>44120</v>
      </c>
      <c r="G641" s="2" t="str">
        <f t="shared" si="27"/>
        <v>October</v>
      </c>
      <c r="H641" s="2" t="str">
        <f t="shared" si="28"/>
        <v>Week 3</v>
      </c>
      <c r="I641" s="2" t="str">
        <f t="shared" si="29"/>
        <v>Quarter 4</v>
      </c>
    </row>
    <row r="642" spans="1:9" x14ac:dyDescent="0.25">
      <c r="A642">
        <v>2000083930</v>
      </c>
      <c r="B642" t="s">
        <v>26</v>
      </c>
      <c r="D642">
        <v>15.1</v>
      </c>
      <c r="F642" s="3">
        <v>44120</v>
      </c>
      <c r="G642" s="2" t="str">
        <f t="shared" si="27"/>
        <v>October</v>
      </c>
      <c r="H642" s="2" t="str">
        <f t="shared" si="28"/>
        <v>Week 3</v>
      </c>
      <c r="I642" s="2" t="str">
        <f t="shared" si="29"/>
        <v>Quarter 4</v>
      </c>
    </row>
    <row r="643" spans="1:9" x14ac:dyDescent="0.25">
      <c r="A643">
        <v>2000083910</v>
      </c>
      <c r="B643" t="s">
        <v>26</v>
      </c>
      <c r="D643">
        <v>7.8</v>
      </c>
      <c r="F643" s="3">
        <v>44120</v>
      </c>
      <c r="G643" s="2" t="str">
        <f t="shared" ref="G643:G664" si="30">TEXT(F643,"mmmm")</f>
        <v>October</v>
      </c>
      <c r="H643" s="2" t="str">
        <f t="shared" ref="H643:H664" si="31">"Week "&amp;((WEEKNUM(F643)-WEEKNUM(DATE(YEAR(F643),MONTH(F643),1))+1))</f>
        <v>Week 3</v>
      </c>
      <c r="I643" s="2" t="str">
        <f t="shared" ref="I643:I664" si="32">"Quarter " &amp; ROUNDUP((MONTH(F643))/3,0)</f>
        <v>Quarter 4</v>
      </c>
    </row>
    <row r="644" spans="1:9" x14ac:dyDescent="0.25">
      <c r="A644">
        <v>2000083909</v>
      </c>
      <c r="B644" t="s">
        <v>26</v>
      </c>
      <c r="D644">
        <v>23.03</v>
      </c>
      <c r="F644" s="3">
        <v>44120</v>
      </c>
      <c r="G644" s="2" t="str">
        <f t="shared" si="30"/>
        <v>October</v>
      </c>
      <c r="H644" s="2" t="str">
        <f t="shared" si="31"/>
        <v>Week 3</v>
      </c>
      <c r="I644" s="2" t="str">
        <f t="shared" si="32"/>
        <v>Quarter 4</v>
      </c>
    </row>
    <row r="645" spans="1:9" x14ac:dyDescent="0.25">
      <c r="A645">
        <v>2000083931</v>
      </c>
      <c r="B645" t="s">
        <v>26</v>
      </c>
      <c r="D645">
        <v>8.5</v>
      </c>
      <c r="F645" s="3">
        <v>44120</v>
      </c>
      <c r="G645" s="2" t="str">
        <f t="shared" si="30"/>
        <v>October</v>
      </c>
      <c r="H645" s="2" t="str">
        <f t="shared" si="31"/>
        <v>Week 3</v>
      </c>
      <c r="I645" s="2" t="str">
        <f t="shared" si="32"/>
        <v>Quarter 4</v>
      </c>
    </row>
    <row r="646" spans="1:9" x14ac:dyDescent="0.25">
      <c r="A646">
        <v>2000083908</v>
      </c>
      <c r="B646" t="s">
        <v>26</v>
      </c>
      <c r="D646">
        <v>7.8</v>
      </c>
      <c r="F646" s="3">
        <v>44120</v>
      </c>
      <c r="G646" s="2" t="str">
        <f t="shared" si="30"/>
        <v>October</v>
      </c>
      <c r="H646" s="2" t="str">
        <f t="shared" si="31"/>
        <v>Week 3</v>
      </c>
      <c r="I646" s="2" t="str">
        <f t="shared" si="32"/>
        <v>Quarter 4</v>
      </c>
    </row>
    <row r="647" spans="1:9" x14ac:dyDescent="0.25">
      <c r="A647">
        <v>2000083907</v>
      </c>
      <c r="B647" t="s">
        <v>26</v>
      </c>
      <c r="D647">
        <v>12.4</v>
      </c>
      <c r="F647" s="3">
        <v>44120</v>
      </c>
      <c r="G647" s="2" t="str">
        <f t="shared" si="30"/>
        <v>October</v>
      </c>
      <c r="H647" s="2" t="str">
        <f t="shared" si="31"/>
        <v>Week 3</v>
      </c>
      <c r="I647" s="2" t="str">
        <f t="shared" si="32"/>
        <v>Quarter 4</v>
      </c>
    </row>
    <row r="648" spans="1:9" x14ac:dyDescent="0.25">
      <c r="A648">
        <v>2000084265</v>
      </c>
      <c r="B648" t="s">
        <v>26</v>
      </c>
      <c r="D648">
        <v>2685.4</v>
      </c>
      <c r="F648" s="3">
        <v>44120</v>
      </c>
      <c r="G648" s="2" t="str">
        <f t="shared" si="30"/>
        <v>October</v>
      </c>
      <c r="H648" s="2" t="str">
        <f t="shared" si="31"/>
        <v>Week 3</v>
      </c>
      <c r="I648" s="2" t="str">
        <f t="shared" si="32"/>
        <v>Quarter 4</v>
      </c>
    </row>
    <row r="649" spans="1:9" x14ac:dyDescent="0.25">
      <c r="A649">
        <v>2000083934</v>
      </c>
      <c r="B649" t="s">
        <v>26</v>
      </c>
      <c r="D649">
        <v>62.45</v>
      </c>
      <c r="F649" s="3">
        <v>44120</v>
      </c>
      <c r="G649" s="2" t="str">
        <f t="shared" si="30"/>
        <v>October</v>
      </c>
      <c r="H649" s="2" t="str">
        <f t="shared" si="31"/>
        <v>Week 3</v>
      </c>
      <c r="I649" s="2" t="str">
        <f t="shared" si="32"/>
        <v>Quarter 4</v>
      </c>
    </row>
    <row r="650" spans="1:9" x14ac:dyDescent="0.25">
      <c r="A650">
        <v>2000083935</v>
      </c>
      <c r="B650" t="s">
        <v>26</v>
      </c>
      <c r="D650">
        <v>43.3</v>
      </c>
      <c r="F650" s="3">
        <v>44120</v>
      </c>
      <c r="G650" s="2" t="str">
        <f t="shared" si="30"/>
        <v>October</v>
      </c>
      <c r="H650" s="2" t="str">
        <f t="shared" si="31"/>
        <v>Week 3</v>
      </c>
      <c r="I650" s="2" t="str">
        <f t="shared" si="32"/>
        <v>Quarter 4</v>
      </c>
    </row>
    <row r="651" spans="1:9" x14ac:dyDescent="0.25">
      <c r="A651">
        <v>2000083936</v>
      </c>
      <c r="B651" t="s">
        <v>26</v>
      </c>
      <c r="D651">
        <v>38.85</v>
      </c>
      <c r="F651" s="3">
        <v>44120</v>
      </c>
      <c r="G651" s="2" t="str">
        <f t="shared" si="30"/>
        <v>October</v>
      </c>
      <c r="H651" s="2" t="str">
        <f t="shared" si="31"/>
        <v>Week 3</v>
      </c>
      <c r="I651" s="2" t="str">
        <f t="shared" si="32"/>
        <v>Quarter 4</v>
      </c>
    </row>
    <row r="652" spans="1:9" x14ac:dyDescent="0.25">
      <c r="A652">
        <v>2000084169</v>
      </c>
      <c r="B652" t="s">
        <v>26</v>
      </c>
      <c r="D652">
        <v>24.05</v>
      </c>
      <c r="F652" s="3">
        <v>44120</v>
      </c>
      <c r="G652" s="2" t="str">
        <f t="shared" si="30"/>
        <v>October</v>
      </c>
      <c r="H652" s="2" t="str">
        <f t="shared" si="31"/>
        <v>Week 3</v>
      </c>
      <c r="I652" s="2" t="str">
        <f t="shared" si="32"/>
        <v>Quarter 4</v>
      </c>
    </row>
    <row r="653" spans="1:9" x14ac:dyDescent="0.25">
      <c r="A653">
        <v>2000084169</v>
      </c>
      <c r="B653" t="s">
        <v>26</v>
      </c>
      <c r="D653">
        <v>23.65</v>
      </c>
      <c r="F653" s="3">
        <v>44120</v>
      </c>
      <c r="G653" s="2" t="str">
        <f t="shared" si="30"/>
        <v>October</v>
      </c>
      <c r="H653" s="2" t="str">
        <f t="shared" si="31"/>
        <v>Week 3</v>
      </c>
      <c r="I653" s="2" t="str">
        <f t="shared" si="32"/>
        <v>Quarter 4</v>
      </c>
    </row>
    <row r="654" spans="1:9" x14ac:dyDescent="0.25">
      <c r="A654">
        <v>2000084099</v>
      </c>
      <c r="B654" t="s">
        <v>26</v>
      </c>
      <c r="C654" t="s">
        <v>11</v>
      </c>
      <c r="D654">
        <v>255.95</v>
      </c>
      <c r="F654" s="3">
        <v>44120</v>
      </c>
      <c r="G654" s="2" t="str">
        <f t="shared" si="30"/>
        <v>October</v>
      </c>
      <c r="H654" s="2" t="str">
        <f t="shared" si="31"/>
        <v>Week 3</v>
      </c>
      <c r="I654" s="2" t="str">
        <f t="shared" si="32"/>
        <v>Quarter 4</v>
      </c>
    </row>
    <row r="655" spans="1:9" x14ac:dyDescent="0.25">
      <c r="A655">
        <v>2000084170</v>
      </c>
      <c r="B655" t="s">
        <v>26</v>
      </c>
      <c r="D655">
        <v>1198</v>
      </c>
      <c r="F655" s="3">
        <v>44120</v>
      </c>
      <c r="G655" s="2" t="str">
        <f t="shared" si="30"/>
        <v>October</v>
      </c>
      <c r="H655" s="2" t="str">
        <f t="shared" si="31"/>
        <v>Week 3</v>
      </c>
      <c r="I655" s="2" t="str">
        <f t="shared" si="32"/>
        <v>Quarter 4</v>
      </c>
    </row>
    <row r="656" spans="1:9" x14ac:dyDescent="0.25">
      <c r="A656">
        <v>2000084115</v>
      </c>
      <c r="B656" t="s">
        <v>26</v>
      </c>
      <c r="D656">
        <v>44.22</v>
      </c>
      <c r="F656" s="3">
        <v>44120</v>
      </c>
      <c r="G656" s="2" t="str">
        <f t="shared" si="30"/>
        <v>October</v>
      </c>
      <c r="H656" s="2" t="str">
        <f t="shared" si="31"/>
        <v>Week 3</v>
      </c>
      <c r="I656" s="2" t="str">
        <f t="shared" si="32"/>
        <v>Quarter 4</v>
      </c>
    </row>
    <row r="657" spans="1:9" x14ac:dyDescent="0.25">
      <c r="A657">
        <v>2000084076</v>
      </c>
      <c r="B657" t="s">
        <v>26</v>
      </c>
      <c r="C657" t="s">
        <v>17</v>
      </c>
      <c r="D657">
        <v>102.65</v>
      </c>
      <c r="F657" s="3">
        <v>44120</v>
      </c>
      <c r="G657" s="2" t="str">
        <f t="shared" si="30"/>
        <v>October</v>
      </c>
      <c r="H657" s="2" t="str">
        <f t="shared" si="31"/>
        <v>Week 3</v>
      </c>
      <c r="I657" s="2" t="str">
        <f t="shared" si="32"/>
        <v>Quarter 4</v>
      </c>
    </row>
    <row r="658" spans="1:9" x14ac:dyDescent="0.25">
      <c r="A658">
        <v>2000084061</v>
      </c>
      <c r="B658" t="s">
        <v>26</v>
      </c>
      <c r="C658" t="s">
        <v>17</v>
      </c>
      <c r="D658">
        <v>86.3</v>
      </c>
      <c r="F658" s="3">
        <v>44120</v>
      </c>
      <c r="G658" s="2" t="str">
        <f t="shared" si="30"/>
        <v>October</v>
      </c>
      <c r="H658" s="2" t="str">
        <f t="shared" si="31"/>
        <v>Week 3</v>
      </c>
      <c r="I658" s="2" t="str">
        <f t="shared" si="32"/>
        <v>Quarter 4</v>
      </c>
    </row>
    <row r="659" spans="1:9" x14ac:dyDescent="0.25">
      <c r="A659">
        <v>2800061410</v>
      </c>
      <c r="B659" t="s">
        <v>26</v>
      </c>
      <c r="D659">
        <v>196</v>
      </c>
      <c r="F659" s="3">
        <v>44120</v>
      </c>
      <c r="G659" s="2" t="str">
        <f t="shared" si="30"/>
        <v>October</v>
      </c>
      <c r="H659" s="2" t="str">
        <f t="shared" si="31"/>
        <v>Week 3</v>
      </c>
      <c r="I659" s="2" t="str">
        <f t="shared" si="32"/>
        <v>Quarter 4</v>
      </c>
    </row>
    <row r="660" spans="1:9" x14ac:dyDescent="0.25">
      <c r="A660">
        <v>2000084263</v>
      </c>
      <c r="B660" t="s">
        <v>26</v>
      </c>
      <c r="D660">
        <v>533.96</v>
      </c>
      <c r="F660" s="3">
        <v>44120</v>
      </c>
      <c r="G660" s="2" t="str">
        <f t="shared" si="30"/>
        <v>October</v>
      </c>
      <c r="H660" s="2" t="str">
        <f t="shared" si="31"/>
        <v>Week 3</v>
      </c>
      <c r="I660" s="2" t="str">
        <f t="shared" si="32"/>
        <v>Quarter 4</v>
      </c>
    </row>
    <row r="661" spans="1:9" x14ac:dyDescent="0.25">
      <c r="A661">
        <v>2000084261</v>
      </c>
      <c r="B661" t="s">
        <v>26</v>
      </c>
      <c r="D661">
        <v>300</v>
      </c>
      <c r="F661" s="3">
        <v>44120</v>
      </c>
      <c r="G661" s="2" t="str">
        <f t="shared" si="30"/>
        <v>October</v>
      </c>
      <c r="H661" s="2" t="str">
        <f t="shared" si="31"/>
        <v>Week 3</v>
      </c>
      <c r="I661" s="2" t="str">
        <f t="shared" si="32"/>
        <v>Quarter 4</v>
      </c>
    </row>
    <row r="662" spans="1:9" x14ac:dyDescent="0.25">
      <c r="A662">
        <v>2000084171</v>
      </c>
      <c r="B662" t="s">
        <v>26</v>
      </c>
      <c r="D662">
        <v>244.65</v>
      </c>
      <c r="F662" s="3">
        <v>44120</v>
      </c>
      <c r="G662" s="2" t="str">
        <f t="shared" si="30"/>
        <v>October</v>
      </c>
      <c r="H662" s="2" t="str">
        <f t="shared" si="31"/>
        <v>Week 3</v>
      </c>
      <c r="I662" s="2" t="str">
        <f t="shared" si="32"/>
        <v>Quarter 4</v>
      </c>
    </row>
    <row r="663" spans="1:9" x14ac:dyDescent="0.25">
      <c r="A663">
        <v>2000084017</v>
      </c>
      <c r="B663" t="s">
        <v>26</v>
      </c>
      <c r="C663" t="s">
        <v>11</v>
      </c>
      <c r="D663">
        <v>102.25</v>
      </c>
      <c r="F663" s="3">
        <v>44120</v>
      </c>
      <c r="G663" s="2" t="str">
        <f t="shared" si="30"/>
        <v>October</v>
      </c>
      <c r="H663" s="2" t="str">
        <f t="shared" si="31"/>
        <v>Week 3</v>
      </c>
      <c r="I663" s="2" t="str">
        <f t="shared" si="32"/>
        <v>Quarter 4</v>
      </c>
    </row>
    <row r="664" spans="1:9" x14ac:dyDescent="0.25">
      <c r="A664">
        <v>2000084115</v>
      </c>
      <c r="B664" t="s">
        <v>26</v>
      </c>
      <c r="D664">
        <v>29.2</v>
      </c>
      <c r="F664" s="3">
        <v>44120</v>
      </c>
      <c r="G664" s="2" t="str">
        <f t="shared" si="30"/>
        <v>October</v>
      </c>
      <c r="H664" s="2" t="str">
        <f t="shared" si="31"/>
        <v>Week 3</v>
      </c>
      <c r="I664" s="2" t="str">
        <f t="shared" si="32"/>
        <v>Quarter 4</v>
      </c>
    </row>
  </sheetData>
  <autoFilter ref="A1:I1" xr:uid="{86C9E853-4278-4C55-85A2-7DC46D568AF8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3B376-C984-4961-9CB2-429C07356780}">
  <sheetPr codeName="Sheet27"/>
  <dimension ref="F1:G24"/>
  <sheetViews>
    <sheetView workbookViewId="0">
      <selection sqref="A1:H1048576"/>
    </sheetView>
  </sheetViews>
  <sheetFormatPr defaultRowHeight="15" x14ac:dyDescent="0.25"/>
  <sheetData>
    <row r="1" spans="6:6" x14ac:dyDescent="0.25">
      <c r="F1" s="1"/>
    </row>
    <row r="2" spans="6:6" x14ac:dyDescent="0.25">
      <c r="F2" s="1"/>
    </row>
    <row r="3" spans="6:6" x14ac:dyDescent="0.25">
      <c r="F3" s="1"/>
    </row>
    <row r="4" spans="6:6" x14ac:dyDescent="0.25">
      <c r="F4" s="1"/>
    </row>
    <row r="5" spans="6:6" x14ac:dyDescent="0.25">
      <c r="F5" s="1"/>
    </row>
    <row r="24" spans="7:7" x14ac:dyDescent="0.25">
      <c r="G24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Option Button 8">
              <controlPr defaultSize="0" autoFill="0" autoLine="0" autoPict="0" macro="[0]!DailyReport">
                <anchor moveWithCells="1">
                  <from>
                    <xdr:col>1</xdr:col>
                    <xdr:colOff>466725</xdr:colOff>
                    <xdr:row>3</xdr:row>
                    <xdr:rowOff>47625</xdr:rowOff>
                  </from>
                  <to>
                    <xdr:col>4</xdr:col>
                    <xdr:colOff>47625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Option Button 9">
              <controlPr defaultSize="0" autoFill="0" autoLine="0" autoPict="0" macro="[0]!byAccount_Weekly_Amount">
                <anchor moveWithCells="1">
                  <from>
                    <xdr:col>1</xdr:col>
                    <xdr:colOff>466725</xdr:colOff>
                    <xdr:row>5</xdr:row>
                    <xdr:rowOff>38100</xdr:rowOff>
                  </from>
                  <to>
                    <xdr:col>3</xdr:col>
                    <xdr:colOff>219075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Option Button 10">
              <controlPr defaultSize="0" autoFill="0" autoLine="0" autoPict="0" macro="[0]!MonthlyReport">
                <anchor moveWithCells="1">
                  <from>
                    <xdr:col>1</xdr:col>
                    <xdr:colOff>466725</xdr:colOff>
                    <xdr:row>7</xdr:row>
                    <xdr:rowOff>47625</xdr:rowOff>
                  </from>
                  <to>
                    <xdr:col>3</xdr:col>
                    <xdr:colOff>219075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Option Button 11">
              <controlPr defaultSize="0" autoFill="0" autoLine="0" autoPict="0" macro="[0]!ReportByQuarter">
                <anchor moveWithCells="1">
                  <from>
                    <xdr:col>1</xdr:col>
                    <xdr:colOff>466725</xdr:colOff>
                    <xdr:row>9</xdr:row>
                    <xdr:rowOff>28575</xdr:rowOff>
                  </from>
                  <to>
                    <xdr:col>3</xdr:col>
                    <xdr:colOff>352425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8" name="Group Box 12">
              <controlPr defaultSize="0" autoFill="0" autoPict="0">
                <anchor moveWithCells="1">
                  <from>
                    <xdr:col>0</xdr:col>
                    <xdr:colOff>266700</xdr:colOff>
                    <xdr:row>2</xdr:row>
                    <xdr:rowOff>85725</xdr:rowOff>
                  </from>
                  <to>
                    <xdr:col>5</xdr:col>
                    <xdr:colOff>9525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9" name="Option Button 13">
              <controlPr defaultSize="0" autoFill="0" autoLine="0" autoPict="0" macro="[0]!VolumeDaily">
                <anchor moveWithCells="1">
                  <from>
                    <xdr:col>8</xdr:col>
                    <xdr:colOff>466725</xdr:colOff>
                    <xdr:row>3</xdr:row>
                    <xdr:rowOff>47625</xdr:rowOff>
                  </from>
                  <to>
                    <xdr:col>11</xdr:col>
                    <xdr:colOff>47625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0" name="Option Button 14">
              <controlPr defaultSize="0" autoFill="0" autoLine="0" autoPict="0" macro="[0]!VolumeWeekly">
                <anchor moveWithCells="1">
                  <from>
                    <xdr:col>8</xdr:col>
                    <xdr:colOff>466725</xdr:colOff>
                    <xdr:row>5</xdr:row>
                    <xdr:rowOff>38100</xdr:rowOff>
                  </from>
                  <to>
                    <xdr:col>10</xdr:col>
                    <xdr:colOff>219075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1" name="Option Button 15">
              <controlPr defaultSize="0" autoFill="0" autoLine="0" autoPict="0" macro="[0]!VolumeMonthly">
                <anchor moveWithCells="1">
                  <from>
                    <xdr:col>8</xdr:col>
                    <xdr:colOff>466725</xdr:colOff>
                    <xdr:row>7</xdr:row>
                    <xdr:rowOff>47625</xdr:rowOff>
                  </from>
                  <to>
                    <xdr:col>10</xdr:col>
                    <xdr:colOff>219075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2" name="Option Button 16">
              <controlPr defaultSize="0" autoFill="0" autoLine="0" autoPict="0" macro="[0]!VolumeQuarterly">
                <anchor moveWithCells="1">
                  <from>
                    <xdr:col>8</xdr:col>
                    <xdr:colOff>466725</xdr:colOff>
                    <xdr:row>9</xdr:row>
                    <xdr:rowOff>28575</xdr:rowOff>
                  </from>
                  <to>
                    <xdr:col>10</xdr:col>
                    <xdr:colOff>352425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3" name="Group Box 17">
              <controlPr defaultSize="0" autoFill="0" autoPict="0">
                <anchor moveWithCells="1">
                  <from>
                    <xdr:col>7</xdr:col>
                    <xdr:colOff>266700</xdr:colOff>
                    <xdr:row>2</xdr:row>
                    <xdr:rowOff>85725</xdr:rowOff>
                  </from>
                  <to>
                    <xdr:col>11</xdr:col>
                    <xdr:colOff>533400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4" name="Group Box 18">
              <controlPr defaultSize="0" autoFill="0" autoPict="0">
                <anchor moveWithCells="1">
                  <from>
                    <xdr:col>0</xdr:col>
                    <xdr:colOff>47625</xdr:colOff>
                    <xdr:row>1</xdr:row>
                    <xdr:rowOff>66675</xdr:rowOff>
                  </from>
                  <to>
                    <xdr:col>12</xdr:col>
                    <xdr:colOff>514350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5" name="Group Box 19">
              <controlPr defaultSize="0" autoFill="0" autoPict="0">
                <anchor moveWithCells="1">
                  <from>
                    <xdr:col>1</xdr:col>
                    <xdr:colOff>438150</xdr:colOff>
                    <xdr:row>16</xdr:row>
                    <xdr:rowOff>180975</xdr:rowOff>
                  </from>
                  <to>
                    <xdr:col>12</xdr:col>
                    <xdr:colOff>19050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6" name="Option Button 21">
              <controlPr defaultSize="0" autoFill="0" autoLine="0" autoPict="0" macro="[0]!DailyReportByID">
                <anchor moveWithCells="1">
                  <from>
                    <xdr:col>2</xdr:col>
                    <xdr:colOff>485775</xdr:colOff>
                    <xdr:row>19</xdr:row>
                    <xdr:rowOff>66675</xdr:rowOff>
                  </from>
                  <to>
                    <xdr:col>5</xdr:col>
                    <xdr:colOff>161925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Option Button 22">
              <controlPr defaultSize="0" autoFill="0" autoLine="0" autoPict="0" macro="[0]!WeeklyReportByIDv2">
                <anchor moveWithCells="1">
                  <from>
                    <xdr:col>2</xdr:col>
                    <xdr:colOff>485775</xdr:colOff>
                    <xdr:row>21</xdr:row>
                    <xdr:rowOff>180975</xdr:rowOff>
                  </from>
                  <to>
                    <xdr:col>4</xdr:col>
                    <xdr:colOff>514350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8" name="Option Button 23">
              <controlPr defaultSize="0" autoFill="0" autoLine="0" autoPict="0" macro="[0]!MonthlyByIDv3">
                <anchor moveWithCells="1">
                  <from>
                    <xdr:col>2</xdr:col>
                    <xdr:colOff>485775</xdr:colOff>
                    <xdr:row>24</xdr:row>
                    <xdr:rowOff>85725</xdr:rowOff>
                  </from>
                  <to>
                    <xdr:col>6</xdr:col>
                    <xdr:colOff>47625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9" name="Option Button 24">
              <controlPr defaultSize="0" autoFill="0" autoLine="0" autoPict="0" macro="[0]!QuarterlyByID">
                <anchor moveWithCells="1">
                  <from>
                    <xdr:col>2</xdr:col>
                    <xdr:colOff>485775</xdr:colOff>
                    <xdr:row>26</xdr:row>
                    <xdr:rowOff>76200</xdr:rowOff>
                  </from>
                  <to>
                    <xdr:col>5</xdr:col>
                    <xdr:colOff>190500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0" name="Option Button 25">
              <controlPr defaultSize="0" autoFill="0" autoLine="0" autoPict="0" macro="[0]!addDate">
                <anchor moveWithCells="1">
                  <from>
                    <xdr:col>13</xdr:col>
                    <xdr:colOff>314325</xdr:colOff>
                    <xdr:row>3</xdr:row>
                    <xdr:rowOff>0</xdr:rowOff>
                  </from>
                  <to>
                    <xdr:col>16</xdr:col>
                    <xdr:colOff>542925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1" name="Option Button 26">
              <controlPr defaultSize="0" autoFill="0" autoLine="0" autoPict="0" macro="[0]!ADDMonthnWeek">
                <anchor moveWithCells="1">
                  <from>
                    <xdr:col>13</xdr:col>
                    <xdr:colOff>333375</xdr:colOff>
                    <xdr:row>5</xdr:row>
                    <xdr:rowOff>142875</xdr:rowOff>
                  </from>
                  <to>
                    <xdr:col>16</xdr:col>
                    <xdr:colOff>542925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22" name="Option Button 27">
              <controlPr defaultSize="0" autoFill="0" autoLine="0" autoPict="0" macro="[0]!AccountYearlyReport">
                <anchor moveWithCells="1">
                  <from>
                    <xdr:col>1</xdr:col>
                    <xdr:colOff>466725</xdr:colOff>
                    <xdr:row>11</xdr:row>
                    <xdr:rowOff>28575</xdr:rowOff>
                  </from>
                  <to>
                    <xdr:col>3</xdr:col>
                    <xdr:colOff>161925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3" name="Option Button 28">
              <controlPr defaultSize="0" autoFill="0" autoLine="0" autoPict="0" macro="[0]!YearlyReportVolume">
                <anchor moveWithCells="1">
                  <from>
                    <xdr:col>8</xdr:col>
                    <xdr:colOff>485775</xdr:colOff>
                    <xdr:row>11</xdr:row>
                    <xdr:rowOff>28575</xdr:rowOff>
                  </from>
                  <to>
                    <xdr:col>10</xdr:col>
                    <xdr:colOff>285750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4" name="Option Button 29">
              <controlPr defaultSize="0" autoFill="0" autoLine="0" autoPict="0" macro="[0]!YearlyReportByID_Volume">
                <anchor moveWithCells="1">
                  <from>
                    <xdr:col>2</xdr:col>
                    <xdr:colOff>495300</xdr:colOff>
                    <xdr:row>28</xdr:row>
                    <xdr:rowOff>104775</xdr:rowOff>
                  </from>
                  <to>
                    <xdr:col>5</xdr:col>
                    <xdr:colOff>104775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25" name="Group Box 30">
              <controlPr defaultSize="0" autoFill="0" autoPict="0">
                <anchor moveWithCells="1">
                  <from>
                    <xdr:col>2</xdr:col>
                    <xdr:colOff>304800</xdr:colOff>
                    <xdr:row>19</xdr:row>
                    <xdr:rowOff>19050</xdr:rowOff>
                  </from>
                  <to>
                    <xdr:col>5</xdr:col>
                    <xdr:colOff>600075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Group Box 31">
              <controlPr defaultSize="0" autoFill="0" autoPict="0">
                <anchor moveWithCells="1">
                  <from>
                    <xdr:col>7</xdr:col>
                    <xdr:colOff>333375</xdr:colOff>
                    <xdr:row>18</xdr:row>
                    <xdr:rowOff>180975</xdr:rowOff>
                  </from>
                  <to>
                    <xdr:col>11</xdr:col>
                    <xdr:colOff>28575</xdr:colOff>
                    <xdr:row>31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7" name="Option Button 32">
              <controlPr defaultSize="0" autoFill="0" autoLine="0" autoPict="0" macro="[0]!IDDaily_Amount">
                <anchor moveWithCells="1">
                  <from>
                    <xdr:col>7</xdr:col>
                    <xdr:colOff>581025</xdr:colOff>
                    <xdr:row>20</xdr:row>
                    <xdr:rowOff>66675</xdr:rowOff>
                  </from>
                  <to>
                    <xdr:col>9</xdr:col>
                    <xdr:colOff>457200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8" name="Option Button 33">
              <controlPr defaultSize="0" autoFill="0" autoLine="0" autoPict="0" macro="[0]!WeeklyID_Amount">
                <anchor moveWithCells="1">
                  <from>
                    <xdr:col>7</xdr:col>
                    <xdr:colOff>571500</xdr:colOff>
                    <xdr:row>22</xdr:row>
                    <xdr:rowOff>76200</xdr:rowOff>
                  </from>
                  <to>
                    <xdr:col>9</xdr:col>
                    <xdr:colOff>295275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9" name="Option Button 34">
              <controlPr defaultSize="0" autoFill="0" autoLine="0" autoPict="0" macro="[0]!MonthlyByID_Amount">
                <anchor moveWithCells="1">
                  <from>
                    <xdr:col>7</xdr:col>
                    <xdr:colOff>561975</xdr:colOff>
                    <xdr:row>24</xdr:row>
                    <xdr:rowOff>66675</xdr:rowOff>
                  </from>
                  <to>
                    <xdr:col>9</xdr:col>
                    <xdr:colOff>409575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0" name="Option Button 35">
              <controlPr defaultSize="0" autoFill="0" autoLine="0" autoPict="0" macro="[0]!QuarterlyByid_amount">
                <anchor moveWithCells="1">
                  <from>
                    <xdr:col>7</xdr:col>
                    <xdr:colOff>561975</xdr:colOff>
                    <xdr:row>26</xdr:row>
                    <xdr:rowOff>85725</xdr:rowOff>
                  </from>
                  <to>
                    <xdr:col>9</xdr:col>
                    <xdr:colOff>352425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1" name="Option Button 36">
              <controlPr defaultSize="0" autoFill="0" autoLine="0" autoPict="0" macro="[0]!YearlyByID_Amount">
                <anchor moveWithCells="1">
                  <from>
                    <xdr:col>7</xdr:col>
                    <xdr:colOff>552450</xdr:colOff>
                    <xdr:row>28</xdr:row>
                    <xdr:rowOff>66675</xdr:rowOff>
                  </from>
                  <to>
                    <xdr:col>9</xdr:col>
                    <xdr:colOff>409575</xdr:colOff>
                    <xdr:row>29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SelectRadioButton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Hafiz Vazeer</dc:creator>
  <cp:lastModifiedBy>user.rpa01</cp:lastModifiedBy>
  <dcterms:created xsi:type="dcterms:W3CDTF">2020-07-07T09:29:51Z</dcterms:created>
  <dcterms:modified xsi:type="dcterms:W3CDTF">2020-10-16T10:31:21Z</dcterms:modified>
</cp:coreProperties>
</file>