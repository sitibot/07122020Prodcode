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0DDD962F-6AE2-4D06-9F29-5705472900AB}" xr6:coauthVersionLast="45" xr6:coauthVersionMax="45" xr10:uidLastSave="{00000000-0000-0000-0000-000000000000}"/>
  <bookViews>
    <workbookView xWindow="825" yWindow="645" windowWidth="15375" windowHeight="6555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631" i="62"/>
  <c r="I632" i="62"/>
  <c r="I633" i="62"/>
  <c r="I634" i="62"/>
  <c r="I635" i="62"/>
  <c r="I636" i="62"/>
  <c r="I637" i="62"/>
  <c r="I638" i="62"/>
  <c r="I639" i="62"/>
  <c r="I640" i="62"/>
  <c r="I641" i="62"/>
  <c r="I642" i="62"/>
  <c r="I643" i="62"/>
  <c r="I644" i="62"/>
  <c r="I645" i="62"/>
  <c r="I646" i="62"/>
  <c r="I647" i="62"/>
  <c r="I648" i="62"/>
  <c r="I649" i="62"/>
  <c r="I650" i="62"/>
  <c r="I651" i="62"/>
  <c r="I652" i="62"/>
  <c r="I653" i="62"/>
  <c r="I654" i="62"/>
  <c r="I655" i="62"/>
  <c r="I656" i="62"/>
  <c r="I657" i="62"/>
  <c r="I658" i="62"/>
  <c r="I659" i="62"/>
  <c r="I660" i="62"/>
  <c r="I661" i="62"/>
  <c r="I662" i="62"/>
  <c r="I663" i="62"/>
  <c r="I664" i="62"/>
  <c r="I665" i="62"/>
  <c r="I666" i="62"/>
  <c r="I667" i="62"/>
  <c r="I668" i="62"/>
  <c r="I669" i="62"/>
  <c r="I670" i="62"/>
  <c r="I671" i="62"/>
  <c r="I672" i="62"/>
  <c r="I673" i="62"/>
  <c r="I674" i="62"/>
  <c r="I675" i="62"/>
  <c r="I676" i="62"/>
  <c r="I677" i="62"/>
  <c r="I678" i="62"/>
  <c r="I679" i="62"/>
  <c r="I680" i="62"/>
  <c r="I681" i="62"/>
  <c r="I682" i="62"/>
  <c r="I683" i="62"/>
  <c r="I684" i="62"/>
  <c r="I685" i="62"/>
  <c r="I686" i="62"/>
  <c r="I687" i="62"/>
  <c r="I688" i="62"/>
  <c r="I689" i="62"/>
  <c r="I690" i="62"/>
  <c r="I691" i="62"/>
  <c r="I692" i="62"/>
  <c r="I693" i="62"/>
  <c r="I694" i="62"/>
  <c r="I695" i="62"/>
  <c r="I696" i="62"/>
  <c r="I697" i="62"/>
  <c r="I698" i="62"/>
  <c r="I699" i="62"/>
  <c r="I700" i="62"/>
  <c r="I701" i="62"/>
  <c r="I702" i="62"/>
  <c r="I703" i="62"/>
  <c r="I704" i="62"/>
  <c r="I705" i="62"/>
  <c r="I706" i="62"/>
  <c r="I707" i="62"/>
  <c r="I708" i="62"/>
  <c r="I709" i="62"/>
  <c r="I710" i="62"/>
  <c r="I711" i="62"/>
  <c r="I712" i="62"/>
  <c r="I713" i="62"/>
  <c r="I714" i="62"/>
  <c r="I715" i="62"/>
  <c r="I716" i="62"/>
  <c r="I717" i="62"/>
  <c r="I718" i="62"/>
  <c r="I719" i="62"/>
  <c r="I720" i="62"/>
  <c r="I721" i="62"/>
  <c r="I722" i="62"/>
  <c r="I723" i="62"/>
  <c r="I724" i="62"/>
  <c r="I725" i="62"/>
  <c r="I726" i="62"/>
  <c r="I727" i="62"/>
  <c r="I728" i="62"/>
  <c r="I729" i="62"/>
  <c r="I730" i="62"/>
  <c r="I731" i="62"/>
  <c r="I732" i="62"/>
  <c r="I733" i="62"/>
  <c r="I734" i="62"/>
  <c r="I735" i="62"/>
  <c r="I736" i="62"/>
  <c r="I737" i="62"/>
  <c r="I738" i="62"/>
  <c r="I739" i="62"/>
  <c r="I740" i="62"/>
  <c r="I741" i="62"/>
  <c r="I742" i="62"/>
  <c r="I743" i="62"/>
  <c r="I744" i="62"/>
  <c r="I745" i="62"/>
  <c r="I746" i="62"/>
  <c r="I747" i="62"/>
  <c r="I748" i="62"/>
  <c r="I749" i="62"/>
  <c r="I750" i="62"/>
  <c r="I751" i="62"/>
  <c r="I752" i="62"/>
  <c r="I753" i="62"/>
  <c r="I754" i="62"/>
  <c r="I755" i="62"/>
  <c r="I756" i="62"/>
  <c r="I757" i="62"/>
  <c r="I758" i="62"/>
  <c r="I759" i="62"/>
  <c r="I760" i="62"/>
  <c r="I761" i="62"/>
  <c r="I762" i="62"/>
  <c r="I763" i="62"/>
  <c r="I764" i="62"/>
  <c r="I765" i="62"/>
  <c r="I766" i="62"/>
  <c r="I767" i="62"/>
  <c r="I768" i="62"/>
  <c r="I769" i="62"/>
  <c r="I770" i="62"/>
  <c r="I771" i="62"/>
  <c r="I772" i="62"/>
  <c r="I773" i="62"/>
  <c r="I774" i="62"/>
  <c r="I775" i="62"/>
  <c r="I776" i="62"/>
  <c r="I777" i="62"/>
  <c r="I778" i="62"/>
  <c r="I779" i="62"/>
  <c r="I780" i="62"/>
  <c r="I781" i="62"/>
  <c r="I782" i="62"/>
  <c r="I783" i="62"/>
  <c r="I784" i="62"/>
  <c r="I785" i="62"/>
  <c r="I786" i="62"/>
  <c r="I787" i="62"/>
  <c r="I788" i="62"/>
  <c r="I789" i="62"/>
  <c r="I790" i="62"/>
  <c r="I791" i="62"/>
  <c r="I792" i="62"/>
  <c r="I793" i="62"/>
  <c r="I794" i="62"/>
  <c r="I795" i="62"/>
  <c r="I796" i="62"/>
  <c r="I797" i="62"/>
  <c r="I798" i="62"/>
  <c r="I799" i="62"/>
  <c r="I800" i="62"/>
  <c r="I801" i="62"/>
  <c r="I802" i="62"/>
  <c r="I803" i="62"/>
  <c r="I804" i="62"/>
  <c r="I805" i="62"/>
  <c r="I806" i="62"/>
  <c r="I807" i="62"/>
  <c r="I808" i="62"/>
  <c r="I809" i="62"/>
  <c r="I810" i="62"/>
  <c r="I811" i="62"/>
  <c r="I812" i="62"/>
  <c r="I813" i="62"/>
  <c r="I814" i="62"/>
  <c r="I815" i="62"/>
  <c r="I816" i="62"/>
  <c r="I817" i="62"/>
  <c r="I818" i="62"/>
  <c r="I819" i="62"/>
  <c r="I820" i="62"/>
  <c r="I821" i="62"/>
  <c r="I822" i="62"/>
  <c r="I823" i="62"/>
  <c r="I824" i="62"/>
  <c r="I825" i="62"/>
  <c r="I826" i="62"/>
  <c r="I827" i="62"/>
  <c r="I828" i="62"/>
  <c r="I829" i="62"/>
  <c r="I830" i="62"/>
  <c r="I831" i="62"/>
  <c r="I832" i="62"/>
  <c r="I833" i="62"/>
  <c r="I834" i="62"/>
  <c r="I835" i="62"/>
  <c r="I836" i="62"/>
  <c r="I837" i="62"/>
  <c r="I838" i="62"/>
  <c r="I839" i="62"/>
  <c r="I840" i="62"/>
  <c r="I841" i="62"/>
  <c r="I842" i="62"/>
  <c r="I843" i="62"/>
  <c r="I844" i="62"/>
  <c r="I845" i="62"/>
  <c r="I846" i="62"/>
  <c r="I847" i="62"/>
  <c r="I848" i="62"/>
  <c r="I849" i="62"/>
  <c r="I850" i="62"/>
  <c r="I851" i="62"/>
  <c r="I852" i="62"/>
  <c r="I853" i="62"/>
  <c r="I854" i="62"/>
  <c r="I855" i="62"/>
  <c r="I856" i="62"/>
  <c r="I857" i="62"/>
  <c r="I858" i="62"/>
  <c r="I859" i="62"/>
  <c r="I860" i="62"/>
  <c r="I861" i="62"/>
  <c r="I862" i="62"/>
  <c r="I863" i="62"/>
  <c r="I864" i="62"/>
  <c r="I865" i="62"/>
  <c r="I866" i="62"/>
  <c r="I867" i="62"/>
  <c r="I868" i="62"/>
  <c r="I869" i="62"/>
  <c r="I870" i="62"/>
  <c r="I871" i="62"/>
  <c r="I872" i="62"/>
  <c r="I873" i="62"/>
  <c r="I874" i="62"/>
  <c r="I875" i="62"/>
  <c r="I876" i="62"/>
  <c r="I877" i="62"/>
  <c r="I878" i="62"/>
  <c r="I879" i="62"/>
  <c r="I880" i="62"/>
  <c r="I881" i="62"/>
  <c r="I882" i="62"/>
  <c r="I883" i="62"/>
  <c r="I884" i="62"/>
  <c r="I885" i="62"/>
  <c r="I886" i="62"/>
  <c r="I887" i="62"/>
  <c r="I888" i="62"/>
  <c r="I889" i="62"/>
  <c r="I890" i="62"/>
  <c r="I891" i="62"/>
  <c r="I892" i="62"/>
  <c r="I893" i="62"/>
  <c r="I894" i="62"/>
  <c r="I895" i="62"/>
  <c r="I896" i="62"/>
  <c r="I897" i="62"/>
  <c r="I898" i="62"/>
  <c r="I899" i="62"/>
  <c r="I900" i="62"/>
  <c r="I901" i="62"/>
  <c r="I902" i="62"/>
  <c r="I903" i="62"/>
  <c r="I904" i="62"/>
  <c r="I905" i="62"/>
  <c r="I906" i="62"/>
  <c r="I907" i="62"/>
  <c r="I908" i="62"/>
  <c r="I909" i="62"/>
  <c r="I910" i="62"/>
  <c r="I911" i="62"/>
  <c r="I912" i="62"/>
  <c r="I913" i="62"/>
  <c r="I914" i="62"/>
  <c r="I915" i="62"/>
  <c r="I916" i="62"/>
  <c r="I917" i="62"/>
  <c r="I918" i="62"/>
  <c r="I919" i="62"/>
  <c r="I920" i="62"/>
  <c r="I921" i="62"/>
  <c r="I922" i="62"/>
  <c r="I923" i="62"/>
  <c r="I924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631" i="62"/>
  <c r="H632" i="62"/>
  <c r="H633" i="62"/>
  <c r="H634" i="62"/>
  <c r="H635" i="62"/>
  <c r="H636" i="62"/>
  <c r="H637" i="62"/>
  <c r="H638" i="62"/>
  <c r="H639" i="62"/>
  <c r="H640" i="62"/>
  <c r="H641" i="62"/>
  <c r="H642" i="62"/>
  <c r="H643" i="62"/>
  <c r="H644" i="62"/>
  <c r="H645" i="62"/>
  <c r="H646" i="62"/>
  <c r="H647" i="62"/>
  <c r="H648" i="62"/>
  <c r="H649" i="62"/>
  <c r="H650" i="62"/>
  <c r="H651" i="62"/>
  <c r="H652" i="62"/>
  <c r="H653" i="62"/>
  <c r="H654" i="62"/>
  <c r="H655" i="62"/>
  <c r="H656" i="62"/>
  <c r="H657" i="62"/>
  <c r="H658" i="62"/>
  <c r="H659" i="62"/>
  <c r="H660" i="62"/>
  <c r="H661" i="62"/>
  <c r="H662" i="62"/>
  <c r="H663" i="62"/>
  <c r="H664" i="62"/>
  <c r="H665" i="62"/>
  <c r="H666" i="62"/>
  <c r="H667" i="62"/>
  <c r="H668" i="62"/>
  <c r="H669" i="62"/>
  <c r="H670" i="62"/>
  <c r="H671" i="62"/>
  <c r="H672" i="62"/>
  <c r="H673" i="62"/>
  <c r="H674" i="62"/>
  <c r="H675" i="62"/>
  <c r="H676" i="62"/>
  <c r="H677" i="62"/>
  <c r="H678" i="62"/>
  <c r="H679" i="62"/>
  <c r="H680" i="62"/>
  <c r="H681" i="62"/>
  <c r="H682" i="62"/>
  <c r="H683" i="62"/>
  <c r="H684" i="62"/>
  <c r="H685" i="62"/>
  <c r="H686" i="62"/>
  <c r="H687" i="62"/>
  <c r="H688" i="62"/>
  <c r="H689" i="62"/>
  <c r="H690" i="62"/>
  <c r="H691" i="62"/>
  <c r="H692" i="62"/>
  <c r="H693" i="62"/>
  <c r="H694" i="62"/>
  <c r="H695" i="62"/>
  <c r="H696" i="62"/>
  <c r="H697" i="62"/>
  <c r="H698" i="62"/>
  <c r="H699" i="62"/>
  <c r="H700" i="62"/>
  <c r="H701" i="62"/>
  <c r="H702" i="62"/>
  <c r="H703" i="62"/>
  <c r="H704" i="62"/>
  <c r="H705" i="62"/>
  <c r="H706" i="62"/>
  <c r="H707" i="62"/>
  <c r="H708" i="62"/>
  <c r="H709" i="62"/>
  <c r="H710" i="62"/>
  <c r="H711" i="62"/>
  <c r="H712" i="62"/>
  <c r="H713" i="62"/>
  <c r="H714" i="62"/>
  <c r="H715" i="62"/>
  <c r="H716" i="62"/>
  <c r="H717" i="62"/>
  <c r="H718" i="62"/>
  <c r="H719" i="62"/>
  <c r="H720" i="62"/>
  <c r="H721" i="62"/>
  <c r="H722" i="62"/>
  <c r="H723" i="62"/>
  <c r="H724" i="62"/>
  <c r="H725" i="62"/>
  <c r="H726" i="62"/>
  <c r="H727" i="62"/>
  <c r="H728" i="62"/>
  <c r="H729" i="62"/>
  <c r="H730" i="62"/>
  <c r="H731" i="62"/>
  <c r="H732" i="62"/>
  <c r="H733" i="62"/>
  <c r="H734" i="62"/>
  <c r="H735" i="62"/>
  <c r="H736" i="62"/>
  <c r="H737" i="62"/>
  <c r="H738" i="62"/>
  <c r="H739" i="62"/>
  <c r="H740" i="62"/>
  <c r="H741" i="62"/>
  <c r="H742" i="62"/>
  <c r="H743" i="62"/>
  <c r="H744" i="62"/>
  <c r="H745" i="62"/>
  <c r="H746" i="62"/>
  <c r="H747" i="62"/>
  <c r="H748" i="62"/>
  <c r="H749" i="62"/>
  <c r="H750" i="62"/>
  <c r="H751" i="62"/>
  <c r="H752" i="62"/>
  <c r="H753" i="62"/>
  <c r="H754" i="62"/>
  <c r="H755" i="62"/>
  <c r="H756" i="62"/>
  <c r="H757" i="62"/>
  <c r="H758" i="62"/>
  <c r="H759" i="62"/>
  <c r="H760" i="62"/>
  <c r="H761" i="62"/>
  <c r="H762" i="62"/>
  <c r="H763" i="62"/>
  <c r="H764" i="62"/>
  <c r="H765" i="62"/>
  <c r="H766" i="62"/>
  <c r="H767" i="62"/>
  <c r="H768" i="62"/>
  <c r="H769" i="62"/>
  <c r="H770" i="62"/>
  <c r="H771" i="62"/>
  <c r="H772" i="62"/>
  <c r="H773" i="62"/>
  <c r="H774" i="62"/>
  <c r="H775" i="62"/>
  <c r="H776" i="62"/>
  <c r="H777" i="62"/>
  <c r="H778" i="62"/>
  <c r="H779" i="62"/>
  <c r="H780" i="62"/>
  <c r="H781" i="62"/>
  <c r="H782" i="62"/>
  <c r="H783" i="62"/>
  <c r="H784" i="62"/>
  <c r="H785" i="62"/>
  <c r="H786" i="62"/>
  <c r="H787" i="62"/>
  <c r="H788" i="62"/>
  <c r="H789" i="62"/>
  <c r="H790" i="62"/>
  <c r="H791" i="62"/>
  <c r="H792" i="62"/>
  <c r="H793" i="62"/>
  <c r="H794" i="62"/>
  <c r="H795" i="62"/>
  <c r="H796" i="62"/>
  <c r="H797" i="62"/>
  <c r="H798" i="62"/>
  <c r="H799" i="62"/>
  <c r="H800" i="62"/>
  <c r="H801" i="62"/>
  <c r="H802" i="62"/>
  <c r="H803" i="62"/>
  <c r="H804" i="62"/>
  <c r="H805" i="62"/>
  <c r="H806" i="62"/>
  <c r="H807" i="62"/>
  <c r="H808" i="62"/>
  <c r="H809" i="62"/>
  <c r="H810" i="62"/>
  <c r="H811" i="62"/>
  <c r="H812" i="62"/>
  <c r="H813" i="62"/>
  <c r="H814" i="62"/>
  <c r="H815" i="62"/>
  <c r="H816" i="62"/>
  <c r="H817" i="62"/>
  <c r="H818" i="62"/>
  <c r="H819" i="62"/>
  <c r="H820" i="62"/>
  <c r="H821" i="62"/>
  <c r="H822" i="62"/>
  <c r="H823" i="62"/>
  <c r="H824" i="62"/>
  <c r="H825" i="62"/>
  <c r="H826" i="62"/>
  <c r="H827" i="62"/>
  <c r="H828" i="62"/>
  <c r="H829" i="62"/>
  <c r="H830" i="62"/>
  <c r="H831" i="62"/>
  <c r="H832" i="62"/>
  <c r="H833" i="62"/>
  <c r="H834" i="62"/>
  <c r="H835" i="62"/>
  <c r="H836" i="62"/>
  <c r="H837" i="62"/>
  <c r="H838" i="62"/>
  <c r="H839" i="62"/>
  <c r="H840" i="62"/>
  <c r="H841" i="62"/>
  <c r="H842" i="62"/>
  <c r="H843" i="62"/>
  <c r="H844" i="62"/>
  <c r="H845" i="62"/>
  <c r="H846" i="62"/>
  <c r="H847" i="62"/>
  <c r="H848" i="62"/>
  <c r="H849" i="62"/>
  <c r="H850" i="62"/>
  <c r="H851" i="62"/>
  <c r="H852" i="62"/>
  <c r="H853" i="62"/>
  <c r="H854" i="62"/>
  <c r="H855" i="62"/>
  <c r="H856" i="62"/>
  <c r="H857" i="62"/>
  <c r="H858" i="62"/>
  <c r="H859" i="62"/>
  <c r="H860" i="62"/>
  <c r="H861" i="62"/>
  <c r="H862" i="62"/>
  <c r="H863" i="62"/>
  <c r="H864" i="62"/>
  <c r="H865" i="62"/>
  <c r="H866" i="62"/>
  <c r="H867" i="62"/>
  <c r="H868" i="62"/>
  <c r="H869" i="62"/>
  <c r="H870" i="62"/>
  <c r="H871" i="62"/>
  <c r="H872" i="62"/>
  <c r="H873" i="62"/>
  <c r="H874" i="62"/>
  <c r="H875" i="62"/>
  <c r="H876" i="62"/>
  <c r="H877" i="62"/>
  <c r="H878" i="62"/>
  <c r="H879" i="62"/>
  <c r="H880" i="62"/>
  <c r="H881" i="62"/>
  <c r="H882" i="62"/>
  <c r="H883" i="62"/>
  <c r="H884" i="62"/>
  <c r="H885" i="62"/>
  <c r="H886" i="62"/>
  <c r="H887" i="62"/>
  <c r="H888" i="62"/>
  <c r="H889" i="62"/>
  <c r="H890" i="62"/>
  <c r="H891" i="62"/>
  <c r="H892" i="62"/>
  <c r="H893" i="62"/>
  <c r="H894" i="62"/>
  <c r="H895" i="62"/>
  <c r="H896" i="62"/>
  <c r="H897" i="62"/>
  <c r="H898" i="62"/>
  <c r="H899" i="62"/>
  <c r="H900" i="62"/>
  <c r="H901" i="62"/>
  <c r="H902" i="62"/>
  <c r="H903" i="62"/>
  <c r="H904" i="62"/>
  <c r="H905" i="62"/>
  <c r="H906" i="62"/>
  <c r="H907" i="62"/>
  <c r="H908" i="62"/>
  <c r="H909" i="62"/>
  <c r="H910" i="62"/>
  <c r="H911" i="62"/>
  <c r="H912" i="62"/>
  <c r="H913" i="62"/>
  <c r="H914" i="62"/>
  <c r="H915" i="62"/>
  <c r="H916" i="62"/>
  <c r="H917" i="62"/>
  <c r="H918" i="62"/>
  <c r="H919" i="62"/>
  <c r="H920" i="62"/>
  <c r="H921" i="62"/>
  <c r="H922" i="62"/>
  <c r="H923" i="62"/>
  <c r="H924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631" i="62"/>
  <c r="G632" i="62"/>
  <c r="G633" i="62"/>
  <c r="G634" i="62"/>
  <c r="G635" i="62"/>
  <c r="G636" i="62"/>
  <c r="G637" i="62"/>
  <c r="G638" i="62"/>
  <c r="G639" i="62"/>
  <c r="G640" i="62"/>
  <c r="G641" i="62"/>
  <c r="G642" i="62"/>
  <c r="G643" i="62"/>
  <c r="G644" i="62"/>
  <c r="G645" i="62"/>
  <c r="G646" i="62"/>
  <c r="G647" i="62"/>
  <c r="G648" i="62"/>
  <c r="G649" i="62"/>
  <c r="G650" i="62"/>
  <c r="G651" i="62"/>
  <c r="G652" i="62"/>
  <c r="G653" i="62"/>
  <c r="G654" i="62"/>
  <c r="G655" i="62"/>
  <c r="G656" i="62"/>
  <c r="G657" i="62"/>
  <c r="G658" i="62"/>
  <c r="G659" i="62"/>
  <c r="G660" i="62"/>
  <c r="G661" i="62"/>
  <c r="G662" i="62"/>
  <c r="G663" i="62"/>
  <c r="G664" i="62"/>
  <c r="G665" i="62"/>
  <c r="G666" i="62"/>
  <c r="G667" i="62"/>
  <c r="G668" i="62"/>
  <c r="G669" i="62"/>
  <c r="G670" i="62"/>
  <c r="G671" i="62"/>
  <c r="G672" i="62"/>
  <c r="G673" i="62"/>
  <c r="G674" i="62"/>
  <c r="G675" i="62"/>
  <c r="G676" i="62"/>
  <c r="G677" i="62"/>
  <c r="G678" i="62"/>
  <c r="G679" i="62"/>
  <c r="G680" i="62"/>
  <c r="G681" i="62"/>
  <c r="G682" i="62"/>
  <c r="G683" i="62"/>
  <c r="G684" i="62"/>
  <c r="G685" i="62"/>
  <c r="G686" i="62"/>
  <c r="G687" i="62"/>
  <c r="G688" i="62"/>
  <c r="G689" i="62"/>
  <c r="G690" i="62"/>
  <c r="G691" i="62"/>
  <c r="G692" i="62"/>
  <c r="G693" i="62"/>
  <c r="G694" i="62"/>
  <c r="G695" i="62"/>
  <c r="G696" i="62"/>
  <c r="G697" i="62"/>
  <c r="G698" i="62"/>
  <c r="G699" i="62"/>
  <c r="G700" i="62"/>
  <c r="G701" i="62"/>
  <c r="G702" i="62"/>
  <c r="G703" i="62"/>
  <c r="G704" i="62"/>
  <c r="G705" i="62"/>
  <c r="G706" i="62"/>
  <c r="G707" i="62"/>
  <c r="G708" i="62"/>
  <c r="G709" i="62"/>
  <c r="G710" i="62"/>
  <c r="G711" i="62"/>
  <c r="G712" i="62"/>
  <c r="G713" i="62"/>
  <c r="G714" i="62"/>
  <c r="G715" i="62"/>
  <c r="G716" i="62"/>
  <c r="G717" i="62"/>
  <c r="G718" i="62"/>
  <c r="G719" i="62"/>
  <c r="G720" i="62"/>
  <c r="G721" i="62"/>
  <c r="G722" i="62"/>
  <c r="G723" i="62"/>
  <c r="G724" i="62"/>
  <c r="G725" i="62"/>
  <c r="G726" i="62"/>
  <c r="G727" i="62"/>
  <c r="G728" i="62"/>
  <c r="G729" i="62"/>
  <c r="G730" i="62"/>
  <c r="G731" i="62"/>
  <c r="G732" i="62"/>
  <c r="G733" i="62"/>
  <c r="G734" i="62"/>
  <c r="G735" i="62"/>
  <c r="G736" i="62"/>
  <c r="G737" i="62"/>
  <c r="G738" i="62"/>
  <c r="G739" i="62"/>
  <c r="G740" i="62"/>
  <c r="G741" i="62"/>
  <c r="G742" i="62"/>
  <c r="G743" i="62"/>
  <c r="G744" i="62"/>
  <c r="G745" i="62"/>
  <c r="G746" i="62"/>
  <c r="G747" i="62"/>
  <c r="G748" i="62"/>
  <c r="G749" i="62"/>
  <c r="G750" i="62"/>
  <c r="G751" i="62"/>
  <c r="G752" i="62"/>
  <c r="G753" i="62"/>
  <c r="G754" i="62"/>
  <c r="G755" i="62"/>
  <c r="G756" i="62"/>
  <c r="G757" i="62"/>
  <c r="G758" i="62"/>
  <c r="G759" i="62"/>
  <c r="G760" i="62"/>
  <c r="G761" i="62"/>
  <c r="G762" i="62"/>
  <c r="G763" i="62"/>
  <c r="G764" i="62"/>
  <c r="G765" i="62"/>
  <c r="G766" i="62"/>
  <c r="G767" i="62"/>
  <c r="G768" i="62"/>
  <c r="G769" i="62"/>
  <c r="G770" i="62"/>
  <c r="G771" i="62"/>
  <c r="G772" i="62"/>
  <c r="G773" i="62"/>
  <c r="G774" i="62"/>
  <c r="G775" i="62"/>
  <c r="G776" i="62"/>
  <c r="G777" i="62"/>
  <c r="G778" i="62"/>
  <c r="G779" i="62"/>
  <c r="G780" i="62"/>
  <c r="G781" i="62"/>
  <c r="G782" i="62"/>
  <c r="G783" i="62"/>
  <c r="G784" i="62"/>
  <c r="G785" i="62"/>
  <c r="G786" i="62"/>
  <c r="G787" i="62"/>
  <c r="G788" i="62"/>
  <c r="G789" i="62"/>
  <c r="G790" i="62"/>
  <c r="G791" i="62"/>
  <c r="G792" i="62"/>
  <c r="G793" i="62"/>
  <c r="G794" i="62"/>
  <c r="G795" i="62"/>
  <c r="G796" i="62"/>
  <c r="G797" i="62"/>
  <c r="G798" i="62"/>
  <c r="G799" i="62"/>
  <c r="G800" i="62"/>
  <c r="G801" i="62"/>
  <c r="G802" i="62"/>
  <c r="G803" i="62"/>
  <c r="G804" i="62"/>
  <c r="G805" i="62"/>
  <c r="G806" i="62"/>
  <c r="G807" i="62"/>
  <c r="G808" i="62"/>
  <c r="G809" i="62"/>
  <c r="G810" i="62"/>
  <c r="G811" i="62"/>
  <c r="G812" i="62"/>
  <c r="G813" i="62"/>
  <c r="G814" i="62"/>
  <c r="G815" i="62"/>
  <c r="G816" i="62"/>
  <c r="G817" i="62"/>
  <c r="G818" i="62"/>
  <c r="G819" i="62"/>
  <c r="G820" i="62"/>
  <c r="G821" i="62"/>
  <c r="G822" i="62"/>
  <c r="G823" i="62"/>
  <c r="G824" i="62"/>
  <c r="G825" i="62"/>
  <c r="G826" i="62"/>
  <c r="G827" i="62"/>
  <c r="G828" i="62"/>
  <c r="G829" i="62"/>
  <c r="G830" i="62"/>
  <c r="G831" i="62"/>
  <c r="G832" i="62"/>
  <c r="G833" i="62"/>
  <c r="G834" i="62"/>
  <c r="G835" i="62"/>
  <c r="G836" i="62"/>
  <c r="G837" i="62"/>
  <c r="G838" i="62"/>
  <c r="G839" i="62"/>
  <c r="G840" i="62"/>
  <c r="G841" i="62"/>
  <c r="G842" i="62"/>
  <c r="G843" i="62"/>
  <c r="G844" i="62"/>
  <c r="G845" i="62"/>
  <c r="G846" i="62"/>
  <c r="G847" i="62"/>
  <c r="G848" i="62"/>
  <c r="G849" i="62"/>
  <c r="G850" i="62"/>
  <c r="G851" i="62"/>
  <c r="G852" i="62"/>
  <c r="G853" i="62"/>
  <c r="G854" i="62"/>
  <c r="G855" i="62"/>
  <c r="G856" i="62"/>
  <c r="G857" i="62"/>
  <c r="G858" i="62"/>
  <c r="G859" i="62"/>
  <c r="G860" i="62"/>
  <c r="G861" i="62"/>
  <c r="G862" i="62"/>
  <c r="G863" i="62"/>
  <c r="G864" i="62"/>
  <c r="G865" i="62"/>
  <c r="G866" i="62"/>
  <c r="G867" i="62"/>
  <c r="G868" i="62"/>
  <c r="G869" i="62"/>
  <c r="G870" i="62"/>
  <c r="G871" i="62"/>
  <c r="G872" i="62"/>
  <c r="G873" i="62"/>
  <c r="G874" i="62"/>
  <c r="G875" i="62"/>
  <c r="G876" i="62"/>
  <c r="G877" i="62"/>
  <c r="G878" i="62"/>
  <c r="G879" i="62"/>
  <c r="G880" i="62"/>
  <c r="G881" i="62"/>
  <c r="G882" i="62"/>
  <c r="G883" i="62"/>
  <c r="G884" i="62"/>
  <c r="G885" i="62"/>
  <c r="G886" i="62"/>
  <c r="G887" i="62"/>
  <c r="G888" i="62"/>
  <c r="G889" i="62"/>
  <c r="G890" i="62"/>
  <c r="G891" i="62"/>
  <c r="G892" i="62"/>
  <c r="G893" i="62"/>
  <c r="G894" i="62"/>
  <c r="G895" i="62"/>
  <c r="G896" i="62"/>
  <c r="G897" i="62"/>
  <c r="G898" i="62"/>
  <c r="G899" i="62"/>
  <c r="G900" i="62"/>
  <c r="G901" i="62"/>
  <c r="G902" i="62"/>
  <c r="G903" i="62"/>
  <c r="G904" i="62"/>
  <c r="G905" i="62"/>
  <c r="G906" i="62"/>
  <c r="G907" i="62"/>
  <c r="G908" i="62"/>
  <c r="G909" i="62"/>
  <c r="G910" i="62"/>
  <c r="G911" i="62"/>
  <c r="G912" i="62"/>
  <c r="G913" i="62"/>
  <c r="G914" i="62"/>
  <c r="G915" i="62"/>
  <c r="G916" i="62"/>
  <c r="G917" i="62"/>
  <c r="G918" i="62"/>
  <c r="G919" i="62"/>
  <c r="G920" i="62"/>
  <c r="G921" i="62"/>
  <c r="G922" i="62"/>
  <c r="G923" i="62"/>
  <c r="G924" i="62"/>
  <c r="G2" i="62"/>
</calcChain>
</file>

<file path=xl/sharedStrings.xml><?xml version="1.0" encoding="utf-8"?>
<sst xmlns="http://schemas.openxmlformats.org/spreadsheetml/2006/main" count="1579" uniqueCount="31">
  <si>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</si>
  <si>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</si>
  <si>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</si>
  <si>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</si>
  <si>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</si>
  <si>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</si>
  <si>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</si>
  <si>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</si>
  <si>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</si>
  <si>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SITIBOT</t>
  </si>
  <si>
    <t>01PLHQFI4001</t>
  </si>
  <si>
    <t>0100FIAR7001</t>
  </si>
  <si>
    <t>0100FIAR7007</t>
  </si>
  <si>
    <t>0100FIAR7028</t>
  </si>
  <si>
    <t>amie adlina</t>
  </si>
  <si>
    <t>0100FITY4004</t>
  </si>
  <si>
    <t>MUSA</t>
  </si>
  <si>
    <t>UFAIRAH</t>
  </si>
  <si>
    <t>0100FIAR7006</t>
  </si>
  <si>
    <t>Izzah28507</t>
  </si>
  <si>
    <t>0100FIAR5001</t>
  </si>
  <si>
    <t>0100FIAR3004</t>
  </si>
  <si>
    <t>0106FIAC7012</t>
  </si>
  <si>
    <t>SEPTISIA</t>
  </si>
  <si>
    <t>NORANI</t>
  </si>
  <si>
    <t>SALWA</t>
  </si>
  <si>
    <t>SERI</t>
  </si>
  <si>
    <t>VA Acc</t>
  </si>
  <si>
    <t>0111FIAC7005</t>
  </si>
  <si>
    <t>0102FIAC7006</t>
  </si>
  <si>
    <t>0114FIAC7011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</si>
</sst>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924"/>
  <sheetViews>
    <sheetView tabSelected="1" workbookViewId="0">
      <selection activeCell="I2" sqref="I2:I924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2800063884</v>
      </c>
      <c r="B2">
        <v>271351</v>
      </c>
      <c r="C2" t="s">
        <v>9</v>
      </c>
      <c r="D2">
        <v>15.84</v>
      </c>
      <c r="F2" s="3">
        <v>44131</v>
      </c>
      <c r="G2" t="str">
        <f>TEXT(F2,"mmmm")</f>
        <v>October</v>
      </c>
      <c r="H2" t="str">
        <f>"Week "&amp;((WEEKNUM(F2)-WEEKNUM(DATE(YEAR(F2),MONTH(F2),1))+1))</f>
        <v>Week 5</v>
      </c>
      <c r="I2" t="str">
        <f>"Quarter " &amp; ROUNDUP((MONTH(F2))/3,0)</f>
        <v>Quarter 4</v>
      </c>
    </row>
    <row r="3" spans="1:9" x14ac:dyDescent="0.25">
      <c r="A3">
        <v>2800063890</v>
      </c>
      <c r="B3">
        <v>271351</v>
      </c>
      <c r="C3" t="s">
        <v>9</v>
      </c>
      <c r="D3">
        <v>23.4</v>
      </c>
      <c r="F3" s="3">
        <v>44131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5</v>
      </c>
      <c r="I3" s="2" t="str">
        <f t="shared" ref="I3:I66" si="2">"Quarter " &amp; ROUNDUP((MONTH(F3))/3,0)</f>
        <v>Quarter 4</v>
      </c>
    </row>
    <row r="4" spans="1:9" x14ac:dyDescent="0.25">
      <c r="A4">
        <v>2800063892</v>
      </c>
      <c r="B4">
        <v>271351</v>
      </c>
      <c r="C4" t="s">
        <v>9</v>
      </c>
      <c r="D4">
        <v>12.65</v>
      </c>
      <c r="F4" s="3">
        <v>44131</v>
      </c>
      <c r="G4" s="2" t="str">
        <f t="shared" si="0"/>
        <v>October</v>
      </c>
      <c r="H4" s="2" t="str">
        <f t="shared" si="1"/>
        <v>Week 5</v>
      </c>
      <c r="I4" s="2" t="str">
        <f t="shared" si="2"/>
        <v>Quarter 4</v>
      </c>
    </row>
    <row r="5" spans="1:9" x14ac:dyDescent="0.25">
      <c r="A5">
        <v>2800063816</v>
      </c>
      <c r="B5">
        <v>273114</v>
      </c>
      <c r="C5" t="s">
        <v>10</v>
      </c>
      <c r="D5">
        <v>55701.69</v>
      </c>
      <c r="F5" s="3">
        <v>44131</v>
      </c>
      <c r="G5" s="2" t="str">
        <f t="shared" si="0"/>
        <v>October</v>
      </c>
      <c r="H5" s="2" t="str">
        <f t="shared" si="1"/>
        <v>Week 5</v>
      </c>
      <c r="I5" s="2" t="str">
        <f t="shared" si="2"/>
        <v>Quarter 4</v>
      </c>
    </row>
    <row r="6" spans="1:9" x14ac:dyDescent="0.25">
      <c r="A6">
        <v>2800063891</v>
      </c>
      <c r="B6">
        <v>273114</v>
      </c>
      <c r="C6" t="s">
        <v>9</v>
      </c>
      <c r="D6">
        <v>60.4</v>
      </c>
      <c r="F6" s="3">
        <v>44131</v>
      </c>
      <c r="G6" s="2" t="str">
        <f t="shared" si="0"/>
        <v>October</v>
      </c>
      <c r="H6" s="2" t="str">
        <f t="shared" si="1"/>
        <v>Week 5</v>
      </c>
      <c r="I6" s="2" t="str">
        <f t="shared" si="2"/>
        <v>Quarter 4</v>
      </c>
    </row>
    <row r="7" spans="1:9" x14ac:dyDescent="0.25">
      <c r="A7">
        <v>2800063642</v>
      </c>
      <c r="B7">
        <v>271351</v>
      </c>
      <c r="C7" t="s">
        <v>11</v>
      </c>
      <c r="D7">
        <v>125.2</v>
      </c>
      <c r="F7" s="3">
        <v>44131</v>
      </c>
      <c r="G7" s="2" t="str">
        <f t="shared" si="0"/>
        <v>October</v>
      </c>
      <c r="H7" s="2" t="str">
        <f t="shared" si="1"/>
        <v>Week 5</v>
      </c>
      <c r="I7" s="2" t="str">
        <f t="shared" si="2"/>
        <v>Quarter 4</v>
      </c>
    </row>
    <row r="8" spans="1:9" x14ac:dyDescent="0.25">
      <c r="A8">
        <v>2800063506</v>
      </c>
      <c r="B8">
        <v>273114</v>
      </c>
      <c r="C8" t="s">
        <v>12</v>
      </c>
      <c r="D8">
        <v>48.45</v>
      </c>
      <c r="F8" s="3">
        <v>44131</v>
      </c>
      <c r="G8" s="2" t="str">
        <f t="shared" si="0"/>
        <v>October</v>
      </c>
      <c r="H8" s="2" t="str">
        <f t="shared" si="1"/>
        <v>Week 5</v>
      </c>
      <c r="I8" s="2" t="str">
        <f t="shared" si="2"/>
        <v>Quarter 4</v>
      </c>
    </row>
    <row r="9" spans="1:9" x14ac:dyDescent="0.25">
      <c r="A9">
        <v>2800063508</v>
      </c>
      <c r="B9">
        <v>273114</v>
      </c>
      <c r="C9" t="s">
        <v>12</v>
      </c>
      <c r="D9">
        <v>109.05</v>
      </c>
      <c r="F9" s="3">
        <v>44131</v>
      </c>
      <c r="G9" s="2" t="str">
        <f t="shared" si="0"/>
        <v>October</v>
      </c>
      <c r="H9" s="2" t="str">
        <f t="shared" si="1"/>
        <v>Week 5</v>
      </c>
      <c r="I9" s="2" t="str">
        <f t="shared" si="2"/>
        <v>Quarter 4</v>
      </c>
    </row>
    <row r="10" spans="1:9" x14ac:dyDescent="0.25">
      <c r="A10">
        <v>2800063509</v>
      </c>
      <c r="B10">
        <v>273114</v>
      </c>
      <c r="C10" t="s">
        <v>12</v>
      </c>
      <c r="D10">
        <v>204.5</v>
      </c>
      <c r="F10" s="3">
        <v>44131</v>
      </c>
      <c r="G10" s="2" t="str">
        <f t="shared" si="0"/>
        <v>October</v>
      </c>
      <c r="H10" s="2" t="str">
        <f t="shared" si="1"/>
        <v>Week 5</v>
      </c>
      <c r="I10" s="2" t="str">
        <f t="shared" si="2"/>
        <v>Quarter 4</v>
      </c>
    </row>
    <row r="11" spans="1:9" x14ac:dyDescent="0.25">
      <c r="A11">
        <v>2800063631</v>
      </c>
      <c r="B11">
        <v>273114</v>
      </c>
      <c r="C11" t="s">
        <v>13</v>
      </c>
      <c r="D11">
        <v>230.6</v>
      </c>
      <c r="E11" t="s">
        <v>14</v>
      </c>
      <c r="F11" s="3">
        <v>44131</v>
      </c>
      <c r="G11" s="2" t="str">
        <f t="shared" si="0"/>
        <v>October</v>
      </c>
      <c r="H11" s="2" t="str">
        <f t="shared" si="1"/>
        <v>Week 5</v>
      </c>
      <c r="I11" s="2" t="str">
        <f t="shared" si="2"/>
        <v>Quarter 4</v>
      </c>
    </row>
    <row r="12" spans="1:9" x14ac:dyDescent="0.25">
      <c r="A12">
        <v>2800063633</v>
      </c>
      <c r="B12">
        <v>273114</v>
      </c>
      <c r="C12" t="s">
        <v>13</v>
      </c>
      <c r="D12">
        <v>1742.35</v>
      </c>
      <c r="E12" t="s">
        <v>14</v>
      </c>
      <c r="F12" s="3">
        <v>44131</v>
      </c>
      <c r="G12" s="2" t="str">
        <f t="shared" si="0"/>
        <v>October</v>
      </c>
      <c r="H12" s="2" t="str">
        <f t="shared" si="1"/>
        <v>Week 5</v>
      </c>
      <c r="I12" s="2" t="str">
        <f t="shared" si="2"/>
        <v>Quarter 4</v>
      </c>
    </row>
    <row r="13" spans="1:9" x14ac:dyDescent="0.25">
      <c r="A13">
        <v>2800063635</v>
      </c>
      <c r="B13">
        <v>273114</v>
      </c>
      <c r="C13" t="s">
        <v>13</v>
      </c>
      <c r="D13">
        <v>42</v>
      </c>
      <c r="E13" t="s">
        <v>14</v>
      </c>
      <c r="F13" s="3">
        <v>44131</v>
      </c>
      <c r="G13" s="2" t="str">
        <f t="shared" si="0"/>
        <v>October</v>
      </c>
      <c r="H13" s="2" t="str">
        <f t="shared" si="1"/>
        <v>Week 5</v>
      </c>
      <c r="I13" s="2" t="str">
        <f t="shared" si="2"/>
        <v>Quarter 4</v>
      </c>
    </row>
    <row r="14" spans="1:9" x14ac:dyDescent="0.25">
      <c r="A14">
        <v>2800063637</v>
      </c>
      <c r="B14">
        <v>273114</v>
      </c>
      <c r="C14" t="s">
        <v>13</v>
      </c>
      <c r="D14">
        <v>522.04999999999995</v>
      </c>
      <c r="E14" t="s">
        <v>14</v>
      </c>
      <c r="F14" s="3">
        <v>44131</v>
      </c>
      <c r="G14" s="2" t="str">
        <f t="shared" si="0"/>
        <v>October</v>
      </c>
      <c r="H14" s="2" t="str">
        <f t="shared" si="1"/>
        <v>Week 5</v>
      </c>
      <c r="I14" s="2" t="str">
        <f t="shared" si="2"/>
        <v>Quarter 4</v>
      </c>
    </row>
    <row r="15" spans="1:9" x14ac:dyDescent="0.25">
      <c r="A15">
        <v>2800063638</v>
      </c>
      <c r="B15">
        <v>273114</v>
      </c>
      <c r="C15" t="s">
        <v>13</v>
      </c>
      <c r="D15">
        <v>2116.4699999999998</v>
      </c>
      <c r="E15" t="s">
        <v>14</v>
      </c>
      <c r="F15" s="3">
        <v>44131</v>
      </c>
      <c r="G15" s="2" t="str">
        <f t="shared" si="0"/>
        <v>October</v>
      </c>
      <c r="H15" s="2" t="str">
        <f t="shared" si="1"/>
        <v>Week 5</v>
      </c>
      <c r="I15" s="2" t="str">
        <f t="shared" si="2"/>
        <v>Quarter 4</v>
      </c>
    </row>
    <row r="16" spans="1:9" x14ac:dyDescent="0.25">
      <c r="A16">
        <v>2800063675</v>
      </c>
      <c r="B16">
        <v>273114</v>
      </c>
      <c r="C16" t="s">
        <v>15</v>
      </c>
      <c r="D16">
        <v>288.55</v>
      </c>
      <c r="E16" t="s">
        <v>16</v>
      </c>
      <c r="F16" s="3">
        <v>44131</v>
      </c>
      <c r="G16" s="2" t="str">
        <f t="shared" si="0"/>
        <v>October</v>
      </c>
      <c r="H16" s="2" t="str">
        <f t="shared" si="1"/>
        <v>Week 5</v>
      </c>
      <c r="I16" s="2" t="str">
        <f t="shared" si="2"/>
        <v>Quarter 4</v>
      </c>
    </row>
    <row r="17" spans="1:9" x14ac:dyDescent="0.25">
      <c r="A17">
        <v>2800063748</v>
      </c>
      <c r="B17">
        <v>273114</v>
      </c>
      <c r="C17" t="s">
        <v>11</v>
      </c>
      <c r="D17">
        <v>1991.45</v>
      </c>
      <c r="F17" s="3">
        <v>44131</v>
      </c>
      <c r="G17" s="2" t="str">
        <f t="shared" si="0"/>
        <v>October</v>
      </c>
      <c r="H17" s="2" t="str">
        <f t="shared" si="1"/>
        <v>Week 5</v>
      </c>
      <c r="I17" s="2" t="str">
        <f t="shared" si="2"/>
        <v>Quarter 4</v>
      </c>
    </row>
    <row r="18" spans="1:9" x14ac:dyDescent="0.25">
      <c r="A18">
        <v>2800063510</v>
      </c>
      <c r="B18">
        <v>273114</v>
      </c>
      <c r="C18" t="s">
        <v>12</v>
      </c>
      <c r="D18">
        <v>1925.3</v>
      </c>
      <c r="F18" s="3">
        <v>44131</v>
      </c>
      <c r="G18" s="2" t="str">
        <f t="shared" si="0"/>
        <v>October</v>
      </c>
      <c r="H18" s="2" t="str">
        <f t="shared" si="1"/>
        <v>Week 5</v>
      </c>
      <c r="I18" s="2" t="str">
        <f t="shared" si="2"/>
        <v>Quarter 4</v>
      </c>
    </row>
    <row r="19" spans="1:9" x14ac:dyDescent="0.25">
      <c r="A19">
        <v>2800063511</v>
      </c>
      <c r="B19">
        <v>273114</v>
      </c>
      <c r="C19" t="s">
        <v>12</v>
      </c>
      <c r="D19">
        <v>341.35</v>
      </c>
      <c r="F19" s="3">
        <v>44131</v>
      </c>
      <c r="G19" s="2" t="str">
        <f t="shared" si="0"/>
        <v>October</v>
      </c>
      <c r="H19" s="2" t="str">
        <f t="shared" si="1"/>
        <v>Week 5</v>
      </c>
      <c r="I19" s="2" t="str">
        <f t="shared" si="2"/>
        <v>Quarter 4</v>
      </c>
    </row>
    <row r="20" spans="1:9" x14ac:dyDescent="0.25">
      <c r="A20">
        <v>2800063640</v>
      </c>
      <c r="B20">
        <v>273114</v>
      </c>
      <c r="C20" t="s">
        <v>13</v>
      </c>
      <c r="D20">
        <v>175.1</v>
      </c>
      <c r="E20" t="s">
        <v>14</v>
      </c>
      <c r="F20" s="3">
        <v>44131</v>
      </c>
      <c r="G20" s="2" t="str">
        <f t="shared" si="0"/>
        <v>October</v>
      </c>
      <c r="H20" s="2" t="str">
        <f t="shared" si="1"/>
        <v>Week 5</v>
      </c>
      <c r="I20" s="2" t="str">
        <f t="shared" si="2"/>
        <v>Quarter 4</v>
      </c>
    </row>
    <row r="21" spans="1:9" x14ac:dyDescent="0.25">
      <c r="A21">
        <v>2800063643</v>
      </c>
      <c r="B21">
        <v>273114</v>
      </c>
      <c r="C21" t="s">
        <v>13</v>
      </c>
      <c r="D21">
        <v>15.65</v>
      </c>
      <c r="E21" t="s">
        <v>14</v>
      </c>
      <c r="F21" s="3">
        <v>44131</v>
      </c>
      <c r="G21" s="2" t="str">
        <f t="shared" si="0"/>
        <v>October</v>
      </c>
      <c r="H21" s="2" t="str">
        <f t="shared" si="1"/>
        <v>Week 5</v>
      </c>
      <c r="I21" s="2" t="str">
        <f t="shared" si="2"/>
        <v>Quarter 4</v>
      </c>
    </row>
    <row r="22" spans="1:9" x14ac:dyDescent="0.25">
      <c r="A22">
        <v>2800063673</v>
      </c>
      <c r="B22">
        <v>273114</v>
      </c>
      <c r="C22" t="s">
        <v>13</v>
      </c>
      <c r="D22">
        <v>13.2</v>
      </c>
      <c r="E22" t="s">
        <v>14</v>
      </c>
      <c r="F22" s="3">
        <v>44131</v>
      </c>
      <c r="G22" s="2" t="str">
        <f t="shared" si="0"/>
        <v>October</v>
      </c>
      <c r="H22" s="2" t="str">
        <f t="shared" si="1"/>
        <v>Week 5</v>
      </c>
      <c r="I22" s="2" t="str">
        <f t="shared" si="2"/>
        <v>Quarter 4</v>
      </c>
    </row>
    <row r="23" spans="1:9" x14ac:dyDescent="0.25">
      <c r="A23">
        <v>2800063674</v>
      </c>
      <c r="B23">
        <v>273114</v>
      </c>
      <c r="C23" t="s">
        <v>13</v>
      </c>
      <c r="D23">
        <v>890.15</v>
      </c>
      <c r="E23" t="s">
        <v>14</v>
      </c>
      <c r="F23" s="3">
        <v>44131</v>
      </c>
      <c r="G23" s="2" t="str">
        <f t="shared" si="0"/>
        <v>October</v>
      </c>
      <c r="H23" s="2" t="str">
        <f t="shared" si="1"/>
        <v>Week 5</v>
      </c>
      <c r="I23" s="2" t="str">
        <f t="shared" si="2"/>
        <v>Quarter 4</v>
      </c>
    </row>
    <row r="24" spans="1:9" x14ac:dyDescent="0.25">
      <c r="A24">
        <v>2800063546</v>
      </c>
      <c r="B24">
        <v>273115</v>
      </c>
      <c r="C24" t="s">
        <v>12</v>
      </c>
      <c r="D24">
        <v>81.650000000000006</v>
      </c>
      <c r="F24" s="3">
        <v>44131</v>
      </c>
      <c r="G24" s="2" t="str">
        <f t="shared" si="0"/>
        <v>October</v>
      </c>
      <c r="H24" s="2" t="str">
        <f t="shared" si="1"/>
        <v>Week 5</v>
      </c>
      <c r="I24" s="2" t="str">
        <f t="shared" si="2"/>
        <v>Quarter 4</v>
      </c>
    </row>
    <row r="25" spans="1:9" x14ac:dyDescent="0.25">
      <c r="A25">
        <v>2800063548</v>
      </c>
      <c r="B25">
        <v>273115</v>
      </c>
      <c r="C25" t="s">
        <v>12</v>
      </c>
      <c r="D25">
        <v>134.80000000000001</v>
      </c>
      <c r="F25" s="3">
        <v>44131</v>
      </c>
      <c r="G25" s="2" t="str">
        <f t="shared" si="0"/>
        <v>October</v>
      </c>
      <c r="H25" s="2" t="str">
        <f t="shared" si="1"/>
        <v>Week 5</v>
      </c>
      <c r="I25" s="2" t="str">
        <f t="shared" si="2"/>
        <v>Quarter 4</v>
      </c>
    </row>
    <row r="26" spans="1:9" x14ac:dyDescent="0.25">
      <c r="A26">
        <v>2800063554</v>
      </c>
      <c r="B26">
        <v>273116</v>
      </c>
      <c r="C26" t="s">
        <v>12</v>
      </c>
      <c r="D26">
        <v>623.1</v>
      </c>
      <c r="F26" s="3">
        <v>44131</v>
      </c>
      <c r="G26" s="2" t="str">
        <f t="shared" si="0"/>
        <v>October</v>
      </c>
      <c r="H26" s="2" t="str">
        <f t="shared" si="1"/>
        <v>Week 5</v>
      </c>
      <c r="I26" s="2" t="str">
        <f t="shared" si="2"/>
        <v>Quarter 4</v>
      </c>
    </row>
    <row r="27" spans="1:9" x14ac:dyDescent="0.25">
      <c r="A27">
        <v>2800063766</v>
      </c>
      <c r="B27">
        <v>273116</v>
      </c>
      <c r="C27" t="s">
        <v>13</v>
      </c>
      <c r="D27">
        <v>35.5</v>
      </c>
      <c r="E27" t="s">
        <v>14</v>
      </c>
      <c r="F27" s="3">
        <v>44131</v>
      </c>
      <c r="G27" s="2" t="str">
        <f t="shared" si="0"/>
        <v>October</v>
      </c>
      <c r="H27" s="2" t="str">
        <f t="shared" si="1"/>
        <v>Week 5</v>
      </c>
      <c r="I27" s="2" t="str">
        <f t="shared" si="2"/>
        <v>Quarter 4</v>
      </c>
    </row>
    <row r="28" spans="1:9" x14ac:dyDescent="0.25">
      <c r="A28">
        <v>2800063783</v>
      </c>
      <c r="B28">
        <v>271151</v>
      </c>
      <c r="C28" t="s">
        <v>15</v>
      </c>
      <c r="D28">
        <v>13200</v>
      </c>
      <c r="E28" t="s">
        <v>17</v>
      </c>
      <c r="F28" s="3">
        <v>44131</v>
      </c>
      <c r="G28" s="2" t="str">
        <f t="shared" si="0"/>
        <v>October</v>
      </c>
      <c r="H28" s="2" t="str">
        <f t="shared" si="1"/>
        <v>Week 5</v>
      </c>
      <c r="I28" s="2" t="str">
        <f t="shared" si="2"/>
        <v>Quarter 4</v>
      </c>
    </row>
    <row r="29" spans="1:9" x14ac:dyDescent="0.25">
      <c r="A29">
        <v>2800063784</v>
      </c>
      <c r="B29">
        <v>271151</v>
      </c>
      <c r="C29" t="s">
        <v>15</v>
      </c>
      <c r="D29">
        <v>3000</v>
      </c>
      <c r="E29" t="s">
        <v>17</v>
      </c>
      <c r="F29" s="3">
        <v>44131</v>
      </c>
      <c r="G29" s="2" t="str">
        <f t="shared" si="0"/>
        <v>October</v>
      </c>
      <c r="H29" s="2" t="str">
        <f t="shared" si="1"/>
        <v>Week 5</v>
      </c>
      <c r="I29" s="2" t="str">
        <f t="shared" si="2"/>
        <v>Quarter 4</v>
      </c>
    </row>
    <row r="30" spans="1:9" x14ac:dyDescent="0.25">
      <c r="A30">
        <v>2800063785</v>
      </c>
      <c r="B30">
        <v>271151</v>
      </c>
      <c r="C30" t="s">
        <v>15</v>
      </c>
      <c r="D30">
        <v>6520</v>
      </c>
      <c r="E30" t="s">
        <v>17</v>
      </c>
      <c r="F30" s="3">
        <v>44131</v>
      </c>
      <c r="G30" s="2" t="str">
        <f t="shared" si="0"/>
        <v>October</v>
      </c>
      <c r="H30" s="2" t="str">
        <f t="shared" si="1"/>
        <v>Week 5</v>
      </c>
      <c r="I30" s="2" t="str">
        <f t="shared" si="2"/>
        <v>Quarter 4</v>
      </c>
    </row>
    <row r="31" spans="1:9" x14ac:dyDescent="0.25">
      <c r="A31">
        <v>2800063786</v>
      </c>
      <c r="B31">
        <v>271151</v>
      </c>
      <c r="C31" t="s">
        <v>15</v>
      </c>
      <c r="D31">
        <v>1500</v>
      </c>
      <c r="E31" t="s">
        <v>17</v>
      </c>
      <c r="F31" s="3">
        <v>44131</v>
      </c>
      <c r="G31" s="2" t="str">
        <f t="shared" si="0"/>
        <v>October</v>
      </c>
      <c r="H31" s="2" t="str">
        <f t="shared" si="1"/>
        <v>Week 5</v>
      </c>
      <c r="I31" s="2" t="str">
        <f t="shared" si="2"/>
        <v>Quarter 4</v>
      </c>
    </row>
    <row r="32" spans="1:9" x14ac:dyDescent="0.25">
      <c r="A32">
        <v>2800063787</v>
      </c>
      <c r="B32">
        <v>271151</v>
      </c>
      <c r="C32" t="s">
        <v>15</v>
      </c>
      <c r="D32">
        <v>9000</v>
      </c>
      <c r="E32" t="s">
        <v>17</v>
      </c>
      <c r="F32" s="3">
        <v>44131</v>
      </c>
      <c r="G32" s="2" t="str">
        <f t="shared" si="0"/>
        <v>October</v>
      </c>
      <c r="H32" s="2" t="str">
        <f t="shared" si="1"/>
        <v>Week 5</v>
      </c>
      <c r="I32" s="2" t="str">
        <f t="shared" si="2"/>
        <v>Quarter 4</v>
      </c>
    </row>
    <row r="33" spans="1:9" x14ac:dyDescent="0.25">
      <c r="A33">
        <v>2800063788</v>
      </c>
      <c r="B33">
        <v>271151</v>
      </c>
      <c r="C33" t="s">
        <v>15</v>
      </c>
      <c r="D33">
        <v>4200</v>
      </c>
      <c r="E33" t="s">
        <v>17</v>
      </c>
      <c r="F33" s="3">
        <v>44131</v>
      </c>
      <c r="G33" s="2" t="str">
        <f t="shared" si="0"/>
        <v>October</v>
      </c>
      <c r="H33" s="2" t="str">
        <f t="shared" si="1"/>
        <v>Week 5</v>
      </c>
      <c r="I33" s="2" t="str">
        <f t="shared" si="2"/>
        <v>Quarter 4</v>
      </c>
    </row>
    <row r="34" spans="1:9" x14ac:dyDescent="0.25">
      <c r="A34">
        <v>2800063468</v>
      </c>
      <c r="B34">
        <v>271351</v>
      </c>
      <c r="C34" t="s">
        <v>18</v>
      </c>
      <c r="D34">
        <v>17791.05</v>
      </c>
      <c r="F34" s="3">
        <v>44131</v>
      </c>
      <c r="G34" s="2" t="str">
        <f t="shared" si="0"/>
        <v>October</v>
      </c>
      <c r="H34" s="2" t="str">
        <f t="shared" si="1"/>
        <v>Week 5</v>
      </c>
      <c r="I34" s="2" t="str">
        <f t="shared" si="2"/>
        <v>Quarter 4</v>
      </c>
    </row>
    <row r="35" spans="1:9" x14ac:dyDescent="0.25">
      <c r="A35">
        <v>2800063469</v>
      </c>
      <c r="B35">
        <v>271351</v>
      </c>
      <c r="C35" t="s">
        <v>18</v>
      </c>
      <c r="D35">
        <v>346.25</v>
      </c>
      <c r="F35" s="3">
        <v>44131</v>
      </c>
      <c r="G35" s="2" t="str">
        <f t="shared" si="0"/>
        <v>October</v>
      </c>
      <c r="H35" s="2" t="str">
        <f t="shared" si="1"/>
        <v>Week 5</v>
      </c>
      <c r="I35" s="2" t="str">
        <f t="shared" si="2"/>
        <v>Quarter 4</v>
      </c>
    </row>
    <row r="36" spans="1:9" x14ac:dyDescent="0.25">
      <c r="A36">
        <v>2800063470</v>
      </c>
      <c r="B36">
        <v>271351</v>
      </c>
      <c r="C36" t="s">
        <v>18</v>
      </c>
      <c r="D36">
        <v>261.8</v>
      </c>
      <c r="F36" s="3">
        <v>44131</v>
      </c>
      <c r="G36" s="2" t="str">
        <f t="shared" si="0"/>
        <v>October</v>
      </c>
      <c r="H36" s="2" t="str">
        <f t="shared" si="1"/>
        <v>Week 5</v>
      </c>
      <c r="I36" s="2" t="str">
        <f t="shared" si="2"/>
        <v>Quarter 4</v>
      </c>
    </row>
    <row r="37" spans="1:9" x14ac:dyDescent="0.25">
      <c r="A37">
        <v>2800063471</v>
      </c>
      <c r="B37">
        <v>271351</v>
      </c>
      <c r="C37" t="s">
        <v>18</v>
      </c>
      <c r="D37">
        <v>141.65</v>
      </c>
      <c r="F37" s="3">
        <v>44131</v>
      </c>
      <c r="G37" s="2" t="str">
        <f t="shared" si="0"/>
        <v>October</v>
      </c>
      <c r="H37" s="2" t="str">
        <f t="shared" si="1"/>
        <v>Week 5</v>
      </c>
      <c r="I37" s="2" t="str">
        <f t="shared" si="2"/>
        <v>Quarter 4</v>
      </c>
    </row>
    <row r="38" spans="1:9" x14ac:dyDescent="0.25">
      <c r="A38">
        <v>2800063472</v>
      </c>
      <c r="B38">
        <v>271351</v>
      </c>
      <c r="C38" t="s">
        <v>18</v>
      </c>
      <c r="D38">
        <v>136.4</v>
      </c>
      <c r="F38" s="3">
        <v>44131</v>
      </c>
      <c r="G38" s="2" t="str">
        <f t="shared" si="0"/>
        <v>October</v>
      </c>
      <c r="H38" s="2" t="str">
        <f t="shared" si="1"/>
        <v>Week 5</v>
      </c>
      <c r="I38" s="2" t="str">
        <f t="shared" si="2"/>
        <v>Quarter 4</v>
      </c>
    </row>
    <row r="39" spans="1:9" x14ac:dyDescent="0.25">
      <c r="A39">
        <v>2800063473</v>
      </c>
      <c r="B39">
        <v>271351</v>
      </c>
      <c r="C39" t="s">
        <v>18</v>
      </c>
      <c r="D39">
        <v>122.95</v>
      </c>
      <c r="F39" s="3">
        <v>44131</v>
      </c>
      <c r="G39" s="2" t="str">
        <f t="shared" si="0"/>
        <v>October</v>
      </c>
      <c r="H39" s="2" t="str">
        <f t="shared" si="1"/>
        <v>Week 5</v>
      </c>
      <c r="I39" s="2" t="str">
        <f t="shared" si="2"/>
        <v>Quarter 4</v>
      </c>
    </row>
    <row r="40" spans="1:9" x14ac:dyDescent="0.25">
      <c r="A40">
        <v>2800063474</v>
      </c>
      <c r="B40">
        <v>271351</v>
      </c>
      <c r="C40" t="s">
        <v>18</v>
      </c>
      <c r="D40">
        <v>89</v>
      </c>
      <c r="F40" s="3">
        <v>44131</v>
      </c>
      <c r="G40" s="2" t="str">
        <f t="shared" si="0"/>
        <v>October</v>
      </c>
      <c r="H40" s="2" t="str">
        <f t="shared" si="1"/>
        <v>Week 5</v>
      </c>
      <c r="I40" s="2" t="str">
        <f t="shared" si="2"/>
        <v>Quarter 4</v>
      </c>
    </row>
    <row r="41" spans="1:9" x14ac:dyDescent="0.25">
      <c r="A41">
        <v>2800063475</v>
      </c>
      <c r="B41">
        <v>271351</v>
      </c>
      <c r="C41" t="s">
        <v>18</v>
      </c>
      <c r="D41">
        <v>57.75</v>
      </c>
      <c r="F41" s="3">
        <v>44131</v>
      </c>
      <c r="G41" s="2" t="str">
        <f t="shared" si="0"/>
        <v>October</v>
      </c>
      <c r="H41" s="2" t="str">
        <f t="shared" si="1"/>
        <v>Week 5</v>
      </c>
      <c r="I41" s="2" t="str">
        <f t="shared" si="2"/>
        <v>Quarter 4</v>
      </c>
    </row>
    <row r="42" spans="1:9" x14ac:dyDescent="0.25">
      <c r="A42">
        <v>2800063476</v>
      </c>
      <c r="B42">
        <v>271351</v>
      </c>
      <c r="C42" t="s">
        <v>18</v>
      </c>
      <c r="D42">
        <v>47.15</v>
      </c>
      <c r="F42" s="3">
        <v>44131</v>
      </c>
      <c r="G42" s="2" t="str">
        <f t="shared" si="0"/>
        <v>October</v>
      </c>
      <c r="H42" s="2" t="str">
        <f t="shared" si="1"/>
        <v>Week 5</v>
      </c>
      <c r="I42" s="2" t="str">
        <f t="shared" si="2"/>
        <v>Quarter 4</v>
      </c>
    </row>
    <row r="43" spans="1:9" x14ac:dyDescent="0.25">
      <c r="A43">
        <v>2800063477</v>
      </c>
      <c r="B43">
        <v>271351</v>
      </c>
      <c r="C43" t="s">
        <v>18</v>
      </c>
      <c r="D43">
        <v>28.7</v>
      </c>
      <c r="F43" s="3">
        <v>44131</v>
      </c>
      <c r="G43" s="2" t="str">
        <f t="shared" si="0"/>
        <v>October</v>
      </c>
      <c r="H43" s="2" t="str">
        <f t="shared" si="1"/>
        <v>Week 5</v>
      </c>
      <c r="I43" s="2" t="str">
        <f t="shared" si="2"/>
        <v>Quarter 4</v>
      </c>
    </row>
    <row r="44" spans="1:9" x14ac:dyDescent="0.25">
      <c r="A44">
        <v>2800063478</v>
      </c>
      <c r="B44">
        <v>271351</v>
      </c>
      <c r="C44" t="s">
        <v>18</v>
      </c>
      <c r="D44">
        <v>27.85</v>
      </c>
      <c r="F44" s="3">
        <v>44131</v>
      </c>
      <c r="G44" s="2" t="str">
        <f t="shared" si="0"/>
        <v>October</v>
      </c>
      <c r="H44" s="2" t="str">
        <f t="shared" si="1"/>
        <v>Week 5</v>
      </c>
      <c r="I44" s="2" t="str">
        <f t="shared" si="2"/>
        <v>Quarter 4</v>
      </c>
    </row>
    <row r="45" spans="1:9" x14ac:dyDescent="0.25">
      <c r="A45">
        <v>2800063479</v>
      </c>
      <c r="B45">
        <v>271351</v>
      </c>
      <c r="C45" t="s">
        <v>18</v>
      </c>
      <c r="D45">
        <v>24.1</v>
      </c>
      <c r="F45" s="3">
        <v>44131</v>
      </c>
      <c r="G45" s="2" t="str">
        <f t="shared" si="0"/>
        <v>October</v>
      </c>
      <c r="H45" s="2" t="str">
        <f t="shared" si="1"/>
        <v>Week 5</v>
      </c>
      <c r="I45" s="2" t="str">
        <f t="shared" si="2"/>
        <v>Quarter 4</v>
      </c>
    </row>
    <row r="46" spans="1:9" x14ac:dyDescent="0.25">
      <c r="A46">
        <v>2800063480</v>
      </c>
      <c r="B46">
        <v>271351</v>
      </c>
      <c r="C46" t="s">
        <v>18</v>
      </c>
      <c r="D46">
        <v>10.4</v>
      </c>
      <c r="F46" s="3">
        <v>44131</v>
      </c>
      <c r="G46" s="2" t="str">
        <f t="shared" si="0"/>
        <v>October</v>
      </c>
      <c r="H46" s="2" t="str">
        <f t="shared" si="1"/>
        <v>Week 5</v>
      </c>
      <c r="I46" s="2" t="str">
        <f t="shared" si="2"/>
        <v>Quarter 4</v>
      </c>
    </row>
    <row r="47" spans="1:9" x14ac:dyDescent="0.25">
      <c r="A47">
        <v>2800063495</v>
      </c>
      <c r="B47">
        <v>271351</v>
      </c>
      <c r="C47" t="s">
        <v>18</v>
      </c>
      <c r="D47">
        <v>10000</v>
      </c>
      <c r="F47" s="3">
        <v>44131</v>
      </c>
      <c r="G47" s="2" t="str">
        <f t="shared" si="0"/>
        <v>October</v>
      </c>
      <c r="H47" s="2" t="str">
        <f t="shared" si="1"/>
        <v>Week 5</v>
      </c>
      <c r="I47" s="2" t="str">
        <f t="shared" si="2"/>
        <v>Quarter 4</v>
      </c>
    </row>
    <row r="48" spans="1:9" x14ac:dyDescent="0.25">
      <c r="A48">
        <v>2800063497</v>
      </c>
      <c r="B48">
        <v>271351</v>
      </c>
      <c r="C48" t="s">
        <v>18</v>
      </c>
      <c r="D48">
        <v>5558.1</v>
      </c>
      <c r="F48" s="3">
        <v>44131</v>
      </c>
      <c r="G48" s="2" t="str">
        <f t="shared" si="0"/>
        <v>October</v>
      </c>
      <c r="H48" s="2" t="str">
        <f t="shared" si="1"/>
        <v>Week 5</v>
      </c>
      <c r="I48" s="2" t="str">
        <f t="shared" si="2"/>
        <v>Quarter 4</v>
      </c>
    </row>
    <row r="49" spans="1:9" x14ac:dyDescent="0.25">
      <c r="A49">
        <v>2800063498</v>
      </c>
      <c r="B49">
        <v>271351</v>
      </c>
      <c r="C49" t="s">
        <v>18</v>
      </c>
      <c r="D49">
        <v>5524</v>
      </c>
      <c r="F49" s="3">
        <v>44131</v>
      </c>
      <c r="G49" s="2" t="str">
        <f t="shared" si="0"/>
        <v>October</v>
      </c>
      <c r="H49" s="2" t="str">
        <f t="shared" si="1"/>
        <v>Week 5</v>
      </c>
      <c r="I49" s="2" t="str">
        <f t="shared" si="2"/>
        <v>Quarter 4</v>
      </c>
    </row>
    <row r="50" spans="1:9" x14ac:dyDescent="0.25">
      <c r="A50">
        <v>2800063500</v>
      </c>
      <c r="B50">
        <v>271351</v>
      </c>
      <c r="C50" t="s">
        <v>18</v>
      </c>
      <c r="D50">
        <v>5000</v>
      </c>
      <c r="F50" s="3">
        <v>44131</v>
      </c>
      <c r="G50" s="2" t="str">
        <f t="shared" si="0"/>
        <v>October</v>
      </c>
      <c r="H50" s="2" t="str">
        <f t="shared" si="1"/>
        <v>Week 5</v>
      </c>
      <c r="I50" s="2" t="str">
        <f t="shared" si="2"/>
        <v>Quarter 4</v>
      </c>
    </row>
    <row r="51" spans="1:9" x14ac:dyDescent="0.25">
      <c r="A51">
        <v>2800063501</v>
      </c>
      <c r="B51">
        <v>271351</v>
      </c>
      <c r="C51" t="s">
        <v>18</v>
      </c>
      <c r="D51">
        <v>4495.2</v>
      </c>
      <c r="F51" s="3">
        <v>44131</v>
      </c>
      <c r="G51" s="2" t="str">
        <f t="shared" si="0"/>
        <v>October</v>
      </c>
      <c r="H51" s="2" t="str">
        <f t="shared" si="1"/>
        <v>Week 5</v>
      </c>
      <c r="I51" s="2" t="str">
        <f t="shared" si="2"/>
        <v>Quarter 4</v>
      </c>
    </row>
    <row r="52" spans="1:9" x14ac:dyDescent="0.25">
      <c r="A52">
        <v>2800063503</v>
      </c>
      <c r="B52">
        <v>271351</v>
      </c>
      <c r="C52" t="s">
        <v>18</v>
      </c>
      <c r="D52">
        <v>1315.45</v>
      </c>
      <c r="F52" s="3">
        <v>44131</v>
      </c>
      <c r="G52" s="2" t="str">
        <f t="shared" si="0"/>
        <v>October</v>
      </c>
      <c r="H52" s="2" t="str">
        <f t="shared" si="1"/>
        <v>Week 5</v>
      </c>
      <c r="I52" s="2" t="str">
        <f t="shared" si="2"/>
        <v>Quarter 4</v>
      </c>
    </row>
    <row r="53" spans="1:9" x14ac:dyDescent="0.25">
      <c r="A53">
        <v>2800063512</v>
      </c>
      <c r="B53">
        <v>271351</v>
      </c>
      <c r="C53" t="s">
        <v>18</v>
      </c>
      <c r="D53">
        <v>1167.05</v>
      </c>
      <c r="F53" s="3">
        <v>44131</v>
      </c>
      <c r="G53" s="2" t="str">
        <f t="shared" si="0"/>
        <v>October</v>
      </c>
      <c r="H53" s="2" t="str">
        <f t="shared" si="1"/>
        <v>Week 5</v>
      </c>
      <c r="I53" s="2" t="str">
        <f t="shared" si="2"/>
        <v>Quarter 4</v>
      </c>
    </row>
    <row r="54" spans="1:9" x14ac:dyDescent="0.25">
      <c r="A54">
        <v>2800063513</v>
      </c>
      <c r="B54">
        <v>271351</v>
      </c>
      <c r="C54" t="s">
        <v>18</v>
      </c>
      <c r="D54">
        <v>1091.75</v>
      </c>
      <c r="F54" s="3">
        <v>44131</v>
      </c>
      <c r="G54" s="2" t="str">
        <f t="shared" si="0"/>
        <v>October</v>
      </c>
      <c r="H54" s="2" t="str">
        <f t="shared" si="1"/>
        <v>Week 5</v>
      </c>
      <c r="I54" s="2" t="str">
        <f t="shared" si="2"/>
        <v>Quarter 4</v>
      </c>
    </row>
    <row r="55" spans="1:9" x14ac:dyDescent="0.25">
      <c r="A55">
        <v>2800063514</v>
      </c>
      <c r="B55">
        <v>271351</v>
      </c>
      <c r="C55" t="s">
        <v>18</v>
      </c>
      <c r="D55">
        <v>1037.75</v>
      </c>
      <c r="F55" s="3">
        <v>44131</v>
      </c>
      <c r="G55" s="2" t="str">
        <f t="shared" si="0"/>
        <v>October</v>
      </c>
      <c r="H55" s="2" t="str">
        <f t="shared" si="1"/>
        <v>Week 5</v>
      </c>
      <c r="I55" s="2" t="str">
        <f t="shared" si="2"/>
        <v>Quarter 4</v>
      </c>
    </row>
    <row r="56" spans="1:9" x14ac:dyDescent="0.25">
      <c r="A56">
        <v>2800063515</v>
      </c>
      <c r="B56">
        <v>271351</v>
      </c>
      <c r="C56" t="s">
        <v>18</v>
      </c>
      <c r="D56">
        <v>961.2</v>
      </c>
      <c r="F56" s="3">
        <v>44131</v>
      </c>
      <c r="G56" s="2" t="str">
        <f t="shared" si="0"/>
        <v>October</v>
      </c>
      <c r="H56" s="2" t="str">
        <f t="shared" si="1"/>
        <v>Week 5</v>
      </c>
      <c r="I56" s="2" t="str">
        <f t="shared" si="2"/>
        <v>Quarter 4</v>
      </c>
    </row>
    <row r="57" spans="1:9" x14ac:dyDescent="0.25">
      <c r="A57">
        <v>2800063517</v>
      </c>
      <c r="B57">
        <v>271351</v>
      </c>
      <c r="C57" t="s">
        <v>18</v>
      </c>
      <c r="D57">
        <v>829.7</v>
      </c>
      <c r="F57" s="3">
        <v>44131</v>
      </c>
      <c r="G57" s="2" t="str">
        <f t="shared" si="0"/>
        <v>October</v>
      </c>
      <c r="H57" s="2" t="str">
        <f t="shared" si="1"/>
        <v>Week 5</v>
      </c>
      <c r="I57" s="2" t="str">
        <f t="shared" si="2"/>
        <v>Quarter 4</v>
      </c>
    </row>
    <row r="58" spans="1:9" x14ac:dyDescent="0.25">
      <c r="A58">
        <v>2800063518</v>
      </c>
      <c r="B58">
        <v>271351</v>
      </c>
      <c r="C58" t="s">
        <v>18</v>
      </c>
      <c r="D58">
        <v>766.1</v>
      </c>
      <c r="F58" s="3">
        <v>44131</v>
      </c>
      <c r="G58" s="2" t="str">
        <f t="shared" si="0"/>
        <v>October</v>
      </c>
      <c r="H58" s="2" t="str">
        <f t="shared" si="1"/>
        <v>Week 5</v>
      </c>
      <c r="I58" s="2" t="str">
        <f t="shared" si="2"/>
        <v>Quarter 4</v>
      </c>
    </row>
    <row r="59" spans="1:9" x14ac:dyDescent="0.25">
      <c r="A59">
        <v>2800063519</v>
      </c>
      <c r="B59">
        <v>271351</v>
      </c>
      <c r="C59" t="s">
        <v>18</v>
      </c>
      <c r="D59">
        <v>742.55</v>
      </c>
      <c r="F59" s="3">
        <v>44131</v>
      </c>
      <c r="G59" s="2" t="str">
        <f t="shared" si="0"/>
        <v>October</v>
      </c>
      <c r="H59" s="2" t="str">
        <f t="shared" si="1"/>
        <v>Week 5</v>
      </c>
      <c r="I59" s="2" t="str">
        <f t="shared" si="2"/>
        <v>Quarter 4</v>
      </c>
    </row>
    <row r="60" spans="1:9" x14ac:dyDescent="0.25">
      <c r="A60">
        <v>2800063520</v>
      </c>
      <c r="B60">
        <v>271351</v>
      </c>
      <c r="C60" t="s">
        <v>18</v>
      </c>
      <c r="D60">
        <v>728.1</v>
      </c>
      <c r="F60" s="3">
        <v>44131</v>
      </c>
      <c r="G60" s="2" t="str">
        <f t="shared" si="0"/>
        <v>October</v>
      </c>
      <c r="H60" s="2" t="str">
        <f t="shared" si="1"/>
        <v>Week 5</v>
      </c>
      <c r="I60" s="2" t="str">
        <f t="shared" si="2"/>
        <v>Quarter 4</v>
      </c>
    </row>
    <row r="61" spans="1:9" x14ac:dyDescent="0.25">
      <c r="A61">
        <v>2800063522</v>
      </c>
      <c r="B61">
        <v>271351</v>
      </c>
      <c r="C61" t="s">
        <v>18</v>
      </c>
      <c r="D61">
        <v>670.65</v>
      </c>
      <c r="F61" s="3">
        <v>44131</v>
      </c>
      <c r="G61" s="2" t="str">
        <f t="shared" si="0"/>
        <v>October</v>
      </c>
      <c r="H61" s="2" t="str">
        <f t="shared" si="1"/>
        <v>Week 5</v>
      </c>
      <c r="I61" s="2" t="str">
        <f t="shared" si="2"/>
        <v>Quarter 4</v>
      </c>
    </row>
    <row r="62" spans="1:9" x14ac:dyDescent="0.25">
      <c r="A62">
        <v>2800063523</v>
      </c>
      <c r="B62">
        <v>271351</v>
      </c>
      <c r="C62" t="s">
        <v>18</v>
      </c>
      <c r="D62">
        <v>599.79999999999995</v>
      </c>
      <c r="F62" s="3">
        <v>44131</v>
      </c>
      <c r="G62" s="2" t="str">
        <f t="shared" si="0"/>
        <v>October</v>
      </c>
      <c r="H62" s="2" t="str">
        <f t="shared" si="1"/>
        <v>Week 5</v>
      </c>
      <c r="I62" s="2" t="str">
        <f t="shared" si="2"/>
        <v>Quarter 4</v>
      </c>
    </row>
    <row r="63" spans="1:9" x14ac:dyDescent="0.25">
      <c r="A63">
        <v>2800063524</v>
      </c>
      <c r="B63">
        <v>271351</v>
      </c>
      <c r="C63" t="s">
        <v>18</v>
      </c>
      <c r="D63">
        <v>568.85</v>
      </c>
      <c r="F63" s="3">
        <v>44131</v>
      </c>
      <c r="G63" s="2" t="str">
        <f t="shared" si="0"/>
        <v>October</v>
      </c>
      <c r="H63" s="2" t="str">
        <f t="shared" si="1"/>
        <v>Week 5</v>
      </c>
      <c r="I63" s="2" t="str">
        <f t="shared" si="2"/>
        <v>Quarter 4</v>
      </c>
    </row>
    <row r="64" spans="1:9" x14ac:dyDescent="0.25">
      <c r="A64">
        <v>2800063525</v>
      </c>
      <c r="B64">
        <v>271351</v>
      </c>
      <c r="C64" t="s">
        <v>18</v>
      </c>
      <c r="D64">
        <v>469.35</v>
      </c>
      <c r="F64" s="3">
        <v>44131</v>
      </c>
      <c r="G64" s="2" t="str">
        <f t="shared" si="0"/>
        <v>October</v>
      </c>
      <c r="H64" s="2" t="str">
        <f t="shared" si="1"/>
        <v>Week 5</v>
      </c>
      <c r="I64" s="2" t="str">
        <f t="shared" si="2"/>
        <v>Quarter 4</v>
      </c>
    </row>
    <row r="65" spans="1:9" x14ac:dyDescent="0.25">
      <c r="A65">
        <v>2800063527</v>
      </c>
      <c r="B65">
        <v>271351</v>
      </c>
      <c r="C65" t="s">
        <v>18</v>
      </c>
      <c r="D65">
        <v>435.1</v>
      </c>
      <c r="F65" s="3">
        <v>44131</v>
      </c>
      <c r="G65" s="2" t="str">
        <f t="shared" si="0"/>
        <v>October</v>
      </c>
      <c r="H65" s="2" t="str">
        <f t="shared" si="1"/>
        <v>Week 5</v>
      </c>
      <c r="I65" s="2" t="str">
        <f t="shared" si="2"/>
        <v>Quarter 4</v>
      </c>
    </row>
    <row r="66" spans="1:9" x14ac:dyDescent="0.25">
      <c r="A66">
        <v>2800063528</v>
      </c>
      <c r="B66">
        <v>271351</v>
      </c>
      <c r="C66" t="s">
        <v>18</v>
      </c>
      <c r="D66">
        <v>420.4</v>
      </c>
      <c r="F66" s="3">
        <v>44131</v>
      </c>
      <c r="G66" s="2" t="str">
        <f t="shared" si="0"/>
        <v>October</v>
      </c>
      <c r="H66" s="2" t="str">
        <f t="shared" si="1"/>
        <v>Week 5</v>
      </c>
      <c r="I66" s="2" t="str">
        <f t="shared" si="2"/>
        <v>Quarter 4</v>
      </c>
    </row>
    <row r="67" spans="1:9" x14ac:dyDescent="0.25">
      <c r="A67">
        <v>2800063529</v>
      </c>
      <c r="B67">
        <v>271351</v>
      </c>
      <c r="C67" t="s">
        <v>18</v>
      </c>
      <c r="D67">
        <v>398.35</v>
      </c>
      <c r="F67" s="3">
        <v>44131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5</v>
      </c>
      <c r="I67" s="2" t="str">
        <f t="shared" ref="I67:I130" si="5">"Quarter " &amp; ROUNDUP((MONTH(F67))/3,0)</f>
        <v>Quarter 4</v>
      </c>
    </row>
    <row r="68" spans="1:9" x14ac:dyDescent="0.25">
      <c r="A68">
        <v>2800063530</v>
      </c>
      <c r="B68">
        <v>271351</v>
      </c>
      <c r="C68" t="s">
        <v>18</v>
      </c>
      <c r="D68">
        <v>365.3</v>
      </c>
      <c r="F68" s="3">
        <v>44131</v>
      </c>
      <c r="G68" s="2" t="str">
        <f t="shared" si="3"/>
        <v>October</v>
      </c>
      <c r="H68" s="2" t="str">
        <f t="shared" si="4"/>
        <v>Week 5</v>
      </c>
      <c r="I68" s="2" t="str">
        <f t="shared" si="5"/>
        <v>Quarter 4</v>
      </c>
    </row>
    <row r="69" spans="1:9" x14ac:dyDescent="0.25">
      <c r="A69">
        <v>2800063531</v>
      </c>
      <c r="B69">
        <v>271351</v>
      </c>
      <c r="C69" t="s">
        <v>18</v>
      </c>
      <c r="D69">
        <v>362.65</v>
      </c>
      <c r="F69" s="3">
        <v>44131</v>
      </c>
      <c r="G69" s="2" t="str">
        <f t="shared" si="3"/>
        <v>October</v>
      </c>
      <c r="H69" s="2" t="str">
        <f t="shared" si="4"/>
        <v>Week 5</v>
      </c>
      <c r="I69" s="2" t="str">
        <f t="shared" si="5"/>
        <v>Quarter 4</v>
      </c>
    </row>
    <row r="70" spans="1:9" x14ac:dyDescent="0.25">
      <c r="A70">
        <v>2800063532</v>
      </c>
      <c r="B70">
        <v>271351</v>
      </c>
      <c r="C70" t="s">
        <v>18</v>
      </c>
      <c r="D70">
        <v>357.45</v>
      </c>
      <c r="F70" s="3">
        <v>44131</v>
      </c>
      <c r="G70" s="2" t="str">
        <f t="shared" si="3"/>
        <v>October</v>
      </c>
      <c r="H70" s="2" t="str">
        <f t="shared" si="4"/>
        <v>Week 5</v>
      </c>
      <c r="I70" s="2" t="str">
        <f t="shared" si="5"/>
        <v>Quarter 4</v>
      </c>
    </row>
    <row r="71" spans="1:9" x14ac:dyDescent="0.25">
      <c r="A71">
        <v>2800063533</v>
      </c>
      <c r="B71">
        <v>271351</v>
      </c>
      <c r="C71" t="s">
        <v>18</v>
      </c>
      <c r="D71">
        <v>322.55</v>
      </c>
      <c r="F71" s="3">
        <v>44131</v>
      </c>
      <c r="G71" s="2" t="str">
        <f t="shared" si="3"/>
        <v>October</v>
      </c>
      <c r="H71" s="2" t="str">
        <f t="shared" si="4"/>
        <v>Week 5</v>
      </c>
      <c r="I71" s="2" t="str">
        <f t="shared" si="5"/>
        <v>Quarter 4</v>
      </c>
    </row>
    <row r="72" spans="1:9" x14ac:dyDescent="0.25">
      <c r="A72">
        <v>2800063534</v>
      </c>
      <c r="B72">
        <v>271351</v>
      </c>
      <c r="C72" t="s">
        <v>18</v>
      </c>
      <c r="D72">
        <v>312.3</v>
      </c>
      <c r="F72" s="3">
        <v>44131</v>
      </c>
      <c r="G72" s="2" t="str">
        <f t="shared" si="3"/>
        <v>October</v>
      </c>
      <c r="H72" s="2" t="str">
        <f t="shared" si="4"/>
        <v>Week 5</v>
      </c>
      <c r="I72" s="2" t="str">
        <f t="shared" si="5"/>
        <v>Quarter 4</v>
      </c>
    </row>
    <row r="73" spans="1:9" x14ac:dyDescent="0.25">
      <c r="A73">
        <v>2800063535</v>
      </c>
      <c r="B73">
        <v>271351</v>
      </c>
      <c r="C73" t="s">
        <v>18</v>
      </c>
      <c r="D73">
        <v>291.85000000000002</v>
      </c>
      <c r="F73" s="3">
        <v>44131</v>
      </c>
      <c r="G73" s="2" t="str">
        <f t="shared" si="3"/>
        <v>October</v>
      </c>
      <c r="H73" s="2" t="str">
        <f t="shared" si="4"/>
        <v>Week 5</v>
      </c>
      <c r="I73" s="2" t="str">
        <f t="shared" si="5"/>
        <v>Quarter 4</v>
      </c>
    </row>
    <row r="74" spans="1:9" x14ac:dyDescent="0.25">
      <c r="A74">
        <v>2800063536</v>
      </c>
      <c r="B74">
        <v>271351</v>
      </c>
      <c r="C74" t="s">
        <v>18</v>
      </c>
      <c r="D74">
        <v>288.60000000000002</v>
      </c>
      <c r="F74" s="3">
        <v>44131</v>
      </c>
      <c r="G74" s="2" t="str">
        <f t="shared" si="3"/>
        <v>October</v>
      </c>
      <c r="H74" s="2" t="str">
        <f t="shared" si="4"/>
        <v>Week 5</v>
      </c>
      <c r="I74" s="2" t="str">
        <f t="shared" si="5"/>
        <v>Quarter 4</v>
      </c>
    </row>
    <row r="75" spans="1:9" x14ac:dyDescent="0.25">
      <c r="A75">
        <v>2800063537</v>
      </c>
      <c r="B75">
        <v>271351</v>
      </c>
      <c r="C75" t="s">
        <v>18</v>
      </c>
      <c r="D75">
        <v>276.8</v>
      </c>
      <c r="F75" s="3">
        <v>44131</v>
      </c>
      <c r="G75" s="2" t="str">
        <f t="shared" si="3"/>
        <v>October</v>
      </c>
      <c r="H75" s="2" t="str">
        <f t="shared" si="4"/>
        <v>Week 5</v>
      </c>
      <c r="I75" s="2" t="str">
        <f t="shared" si="5"/>
        <v>Quarter 4</v>
      </c>
    </row>
    <row r="76" spans="1:9" x14ac:dyDescent="0.25">
      <c r="A76">
        <v>2800063539</v>
      </c>
      <c r="B76">
        <v>271351</v>
      </c>
      <c r="C76" t="s">
        <v>18</v>
      </c>
      <c r="D76">
        <v>271.85000000000002</v>
      </c>
      <c r="F76" s="3">
        <v>44131</v>
      </c>
      <c r="G76" s="2" t="str">
        <f t="shared" si="3"/>
        <v>October</v>
      </c>
      <c r="H76" s="2" t="str">
        <f t="shared" si="4"/>
        <v>Week 5</v>
      </c>
      <c r="I76" s="2" t="str">
        <f t="shared" si="5"/>
        <v>Quarter 4</v>
      </c>
    </row>
    <row r="77" spans="1:9" x14ac:dyDescent="0.25">
      <c r="A77">
        <v>2800063540</v>
      </c>
      <c r="B77">
        <v>271351</v>
      </c>
      <c r="C77" t="s">
        <v>18</v>
      </c>
      <c r="D77">
        <v>256.14999999999998</v>
      </c>
      <c r="F77" s="3">
        <v>44131</v>
      </c>
      <c r="G77" s="2" t="str">
        <f t="shared" si="3"/>
        <v>October</v>
      </c>
      <c r="H77" s="2" t="str">
        <f t="shared" si="4"/>
        <v>Week 5</v>
      </c>
      <c r="I77" s="2" t="str">
        <f t="shared" si="5"/>
        <v>Quarter 4</v>
      </c>
    </row>
    <row r="78" spans="1:9" x14ac:dyDescent="0.25">
      <c r="A78">
        <v>2800063541</v>
      </c>
      <c r="B78">
        <v>271351</v>
      </c>
      <c r="C78" t="s">
        <v>18</v>
      </c>
      <c r="D78">
        <v>253.4</v>
      </c>
      <c r="F78" s="3">
        <v>44131</v>
      </c>
      <c r="G78" s="2" t="str">
        <f t="shared" si="3"/>
        <v>October</v>
      </c>
      <c r="H78" s="2" t="str">
        <f t="shared" si="4"/>
        <v>Week 5</v>
      </c>
      <c r="I78" s="2" t="str">
        <f t="shared" si="5"/>
        <v>Quarter 4</v>
      </c>
    </row>
    <row r="79" spans="1:9" x14ac:dyDescent="0.25">
      <c r="A79">
        <v>2800063542</v>
      </c>
      <c r="B79">
        <v>271351</v>
      </c>
      <c r="C79" t="s">
        <v>18</v>
      </c>
      <c r="D79">
        <v>252.55</v>
      </c>
      <c r="F79" s="3">
        <v>44131</v>
      </c>
      <c r="G79" s="2" t="str">
        <f t="shared" si="3"/>
        <v>October</v>
      </c>
      <c r="H79" s="2" t="str">
        <f t="shared" si="4"/>
        <v>Week 5</v>
      </c>
      <c r="I79" s="2" t="str">
        <f t="shared" si="5"/>
        <v>Quarter 4</v>
      </c>
    </row>
    <row r="80" spans="1:9" x14ac:dyDescent="0.25">
      <c r="A80">
        <v>2800063544</v>
      </c>
      <c r="B80">
        <v>271351</v>
      </c>
      <c r="C80" t="s">
        <v>18</v>
      </c>
      <c r="D80">
        <v>237</v>
      </c>
      <c r="F80" s="3">
        <v>44131</v>
      </c>
      <c r="G80" s="2" t="str">
        <f t="shared" si="3"/>
        <v>October</v>
      </c>
      <c r="H80" s="2" t="str">
        <f t="shared" si="4"/>
        <v>Week 5</v>
      </c>
      <c r="I80" s="2" t="str">
        <f t="shared" si="5"/>
        <v>Quarter 4</v>
      </c>
    </row>
    <row r="81" spans="1:9" x14ac:dyDescent="0.25">
      <c r="A81">
        <v>2800063545</v>
      </c>
      <c r="B81">
        <v>271351</v>
      </c>
      <c r="C81" t="s">
        <v>18</v>
      </c>
      <c r="D81">
        <v>233</v>
      </c>
      <c r="F81" s="3">
        <v>44131</v>
      </c>
      <c r="G81" s="2" t="str">
        <f t="shared" si="3"/>
        <v>October</v>
      </c>
      <c r="H81" s="2" t="str">
        <f t="shared" si="4"/>
        <v>Week 5</v>
      </c>
      <c r="I81" s="2" t="str">
        <f t="shared" si="5"/>
        <v>Quarter 4</v>
      </c>
    </row>
    <row r="82" spans="1:9" x14ac:dyDescent="0.25">
      <c r="A82">
        <v>2800063547</v>
      </c>
      <c r="B82">
        <v>271351</v>
      </c>
      <c r="C82" t="s">
        <v>18</v>
      </c>
      <c r="D82">
        <v>226.95</v>
      </c>
      <c r="F82" s="3">
        <v>44131</v>
      </c>
      <c r="G82" s="2" t="str">
        <f t="shared" si="3"/>
        <v>October</v>
      </c>
      <c r="H82" s="2" t="str">
        <f t="shared" si="4"/>
        <v>Week 5</v>
      </c>
      <c r="I82" s="2" t="str">
        <f t="shared" si="5"/>
        <v>Quarter 4</v>
      </c>
    </row>
    <row r="83" spans="1:9" x14ac:dyDescent="0.25">
      <c r="A83">
        <v>2800063549</v>
      </c>
      <c r="B83">
        <v>271351</v>
      </c>
      <c r="C83" t="s">
        <v>18</v>
      </c>
      <c r="D83">
        <v>226.85</v>
      </c>
      <c r="F83" s="3">
        <v>44131</v>
      </c>
      <c r="G83" s="2" t="str">
        <f t="shared" si="3"/>
        <v>October</v>
      </c>
      <c r="H83" s="2" t="str">
        <f t="shared" si="4"/>
        <v>Week 5</v>
      </c>
      <c r="I83" s="2" t="str">
        <f t="shared" si="5"/>
        <v>Quarter 4</v>
      </c>
    </row>
    <row r="84" spans="1:9" x14ac:dyDescent="0.25">
      <c r="A84">
        <v>2800063551</v>
      </c>
      <c r="B84">
        <v>271351</v>
      </c>
      <c r="C84" t="s">
        <v>18</v>
      </c>
      <c r="D84">
        <v>223.1</v>
      </c>
      <c r="F84" s="3">
        <v>44131</v>
      </c>
      <c r="G84" s="2" t="str">
        <f t="shared" si="3"/>
        <v>October</v>
      </c>
      <c r="H84" s="2" t="str">
        <f t="shared" si="4"/>
        <v>Week 5</v>
      </c>
      <c r="I84" s="2" t="str">
        <f t="shared" si="5"/>
        <v>Quarter 4</v>
      </c>
    </row>
    <row r="85" spans="1:9" x14ac:dyDescent="0.25">
      <c r="A85">
        <v>2800063553</v>
      </c>
      <c r="B85">
        <v>271351</v>
      </c>
      <c r="C85" t="s">
        <v>18</v>
      </c>
      <c r="D85">
        <v>207.25</v>
      </c>
      <c r="F85" s="3">
        <v>44131</v>
      </c>
      <c r="G85" s="2" t="str">
        <f t="shared" si="3"/>
        <v>October</v>
      </c>
      <c r="H85" s="2" t="str">
        <f t="shared" si="4"/>
        <v>Week 5</v>
      </c>
      <c r="I85" s="2" t="str">
        <f t="shared" si="5"/>
        <v>Quarter 4</v>
      </c>
    </row>
    <row r="86" spans="1:9" x14ac:dyDescent="0.25">
      <c r="A86">
        <v>2800063555</v>
      </c>
      <c r="B86">
        <v>271351</v>
      </c>
      <c r="C86" t="s">
        <v>18</v>
      </c>
      <c r="D86">
        <v>206.65</v>
      </c>
      <c r="F86" s="3">
        <v>44131</v>
      </c>
      <c r="G86" s="2" t="str">
        <f t="shared" si="3"/>
        <v>October</v>
      </c>
      <c r="H86" s="2" t="str">
        <f t="shared" si="4"/>
        <v>Week 5</v>
      </c>
      <c r="I86" s="2" t="str">
        <f t="shared" si="5"/>
        <v>Quarter 4</v>
      </c>
    </row>
    <row r="87" spans="1:9" x14ac:dyDescent="0.25">
      <c r="A87">
        <v>2800063557</v>
      </c>
      <c r="B87">
        <v>271351</v>
      </c>
      <c r="C87" t="s">
        <v>18</v>
      </c>
      <c r="D87">
        <v>202.1</v>
      </c>
      <c r="F87" s="3">
        <v>44131</v>
      </c>
      <c r="G87" s="2" t="str">
        <f t="shared" si="3"/>
        <v>October</v>
      </c>
      <c r="H87" s="2" t="str">
        <f t="shared" si="4"/>
        <v>Week 5</v>
      </c>
      <c r="I87" s="2" t="str">
        <f t="shared" si="5"/>
        <v>Quarter 4</v>
      </c>
    </row>
    <row r="88" spans="1:9" x14ac:dyDescent="0.25">
      <c r="A88">
        <v>2800063558</v>
      </c>
      <c r="B88">
        <v>271351</v>
      </c>
      <c r="C88" t="s">
        <v>18</v>
      </c>
      <c r="D88">
        <v>201.55</v>
      </c>
      <c r="F88" s="3">
        <v>44131</v>
      </c>
      <c r="G88" s="2" t="str">
        <f t="shared" si="3"/>
        <v>October</v>
      </c>
      <c r="H88" s="2" t="str">
        <f t="shared" si="4"/>
        <v>Week 5</v>
      </c>
      <c r="I88" s="2" t="str">
        <f t="shared" si="5"/>
        <v>Quarter 4</v>
      </c>
    </row>
    <row r="89" spans="1:9" x14ac:dyDescent="0.25">
      <c r="A89">
        <v>2800063559</v>
      </c>
      <c r="B89">
        <v>271351</v>
      </c>
      <c r="C89" t="s">
        <v>18</v>
      </c>
      <c r="D89">
        <v>194.85</v>
      </c>
      <c r="F89" s="3">
        <v>44131</v>
      </c>
      <c r="G89" s="2" t="str">
        <f t="shared" si="3"/>
        <v>October</v>
      </c>
      <c r="H89" s="2" t="str">
        <f t="shared" si="4"/>
        <v>Week 5</v>
      </c>
      <c r="I89" s="2" t="str">
        <f t="shared" si="5"/>
        <v>Quarter 4</v>
      </c>
    </row>
    <row r="90" spans="1:9" x14ac:dyDescent="0.25">
      <c r="A90">
        <v>2800063561</v>
      </c>
      <c r="B90">
        <v>271351</v>
      </c>
      <c r="C90" t="s">
        <v>18</v>
      </c>
      <c r="D90">
        <v>189.2</v>
      </c>
      <c r="F90" s="3">
        <v>44131</v>
      </c>
      <c r="G90" s="2" t="str">
        <f t="shared" si="3"/>
        <v>October</v>
      </c>
      <c r="H90" s="2" t="str">
        <f t="shared" si="4"/>
        <v>Week 5</v>
      </c>
      <c r="I90" s="2" t="str">
        <f t="shared" si="5"/>
        <v>Quarter 4</v>
      </c>
    </row>
    <row r="91" spans="1:9" x14ac:dyDescent="0.25">
      <c r="A91">
        <v>2800063562</v>
      </c>
      <c r="B91">
        <v>271351</v>
      </c>
      <c r="C91" t="s">
        <v>18</v>
      </c>
      <c r="D91">
        <v>183.6</v>
      </c>
      <c r="F91" s="3">
        <v>44131</v>
      </c>
      <c r="G91" s="2" t="str">
        <f t="shared" si="3"/>
        <v>October</v>
      </c>
      <c r="H91" s="2" t="str">
        <f t="shared" si="4"/>
        <v>Week 5</v>
      </c>
      <c r="I91" s="2" t="str">
        <f t="shared" si="5"/>
        <v>Quarter 4</v>
      </c>
    </row>
    <row r="92" spans="1:9" x14ac:dyDescent="0.25">
      <c r="A92">
        <v>2800063563</v>
      </c>
      <c r="B92">
        <v>271351</v>
      </c>
      <c r="C92" t="s">
        <v>18</v>
      </c>
      <c r="D92">
        <v>182.1</v>
      </c>
      <c r="F92" s="3">
        <v>44131</v>
      </c>
      <c r="G92" s="2" t="str">
        <f t="shared" si="3"/>
        <v>October</v>
      </c>
      <c r="H92" s="2" t="str">
        <f t="shared" si="4"/>
        <v>Week 5</v>
      </c>
      <c r="I92" s="2" t="str">
        <f t="shared" si="5"/>
        <v>Quarter 4</v>
      </c>
    </row>
    <row r="93" spans="1:9" x14ac:dyDescent="0.25">
      <c r="A93">
        <v>2800063565</v>
      </c>
      <c r="B93">
        <v>271351</v>
      </c>
      <c r="C93" t="s">
        <v>18</v>
      </c>
      <c r="D93">
        <v>182.05</v>
      </c>
      <c r="F93" s="3">
        <v>44131</v>
      </c>
      <c r="G93" s="2" t="str">
        <f t="shared" si="3"/>
        <v>October</v>
      </c>
      <c r="H93" s="2" t="str">
        <f t="shared" si="4"/>
        <v>Week 5</v>
      </c>
      <c r="I93" s="2" t="str">
        <f t="shared" si="5"/>
        <v>Quarter 4</v>
      </c>
    </row>
    <row r="94" spans="1:9" x14ac:dyDescent="0.25">
      <c r="A94">
        <v>2800063566</v>
      </c>
      <c r="B94">
        <v>271351</v>
      </c>
      <c r="C94" t="s">
        <v>18</v>
      </c>
      <c r="D94">
        <v>170.95</v>
      </c>
      <c r="F94" s="3">
        <v>44131</v>
      </c>
      <c r="G94" s="2" t="str">
        <f t="shared" si="3"/>
        <v>October</v>
      </c>
      <c r="H94" s="2" t="str">
        <f t="shared" si="4"/>
        <v>Week 5</v>
      </c>
      <c r="I94" s="2" t="str">
        <f t="shared" si="5"/>
        <v>Quarter 4</v>
      </c>
    </row>
    <row r="95" spans="1:9" x14ac:dyDescent="0.25">
      <c r="A95">
        <v>2800063569</v>
      </c>
      <c r="B95">
        <v>271351</v>
      </c>
      <c r="C95" t="s">
        <v>18</v>
      </c>
      <c r="D95">
        <v>170.9</v>
      </c>
      <c r="F95" s="3">
        <v>44131</v>
      </c>
      <c r="G95" s="2" t="str">
        <f t="shared" si="3"/>
        <v>October</v>
      </c>
      <c r="H95" s="2" t="str">
        <f t="shared" si="4"/>
        <v>Week 5</v>
      </c>
      <c r="I95" s="2" t="str">
        <f t="shared" si="5"/>
        <v>Quarter 4</v>
      </c>
    </row>
    <row r="96" spans="1:9" x14ac:dyDescent="0.25">
      <c r="A96">
        <v>2800063570</v>
      </c>
      <c r="B96">
        <v>271351</v>
      </c>
      <c r="C96" t="s">
        <v>18</v>
      </c>
      <c r="D96">
        <v>166.95</v>
      </c>
      <c r="F96" s="3">
        <v>44131</v>
      </c>
      <c r="G96" s="2" t="str">
        <f t="shared" si="3"/>
        <v>October</v>
      </c>
      <c r="H96" s="2" t="str">
        <f t="shared" si="4"/>
        <v>Week 5</v>
      </c>
      <c r="I96" s="2" t="str">
        <f t="shared" si="5"/>
        <v>Quarter 4</v>
      </c>
    </row>
    <row r="97" spans="1:9" x14ac:dyDescent="0.25">
      <c r="A97">
        <v>2800063571</v>
      </c>
      <c r="B97">
        <v>271351</v>
      </c>
      <c r="C97" t="s">
        <v>18</v>
      </c>
      <c r="D97">
        <v>158.69999999999999</v>
      </c>
      <c r="F97" s="3">
        <v>44131</v>
      </c>
      <c r="G97" s="2" t="str">
        <f t="shared" si="3"/>
        <v>October</v>
      </c>
      <c r="H97" s="2" t="str">
        <f t="shared" si="4"/>
        <v>Week 5</v>
      </c>
      <c r="I97" s="2" t="str">
        <f t="shared" si="5"/>
        <v>Quarter 4</v>
      </c>
    </row>
    <row r="98" spans="1:9" x14ac:dyDescent="0.25">
      <c r="A98">
        <v>2800063572</v>
      </c>
      <c r="B98">
        <v>271351</v>
      </c>
      <c r="C98" t="s">
        <v>18</v>
      </c>
      <c r="D98">
        <v>156.9</v>
      </c>
      <c r="F98" s="3">
        <v>44131</v>
      </c>
      <c r="G98" s="2" t="str">
        <f t="shared" si="3"/>
        <v>October</v>
      </c>
      <c r="H98" s="2" t="str">
        <f t="shared" si="4"/>
        <v>Week 5</v>
      </c>
      <c r="I98" s="2" t="str">
        <f t="shared" si="5"/>
        <v>Quarter 4</v>
      </c>
    </row>
    <row r="99" spans="1:9" x14ac:dyDescent="0.25">
      <c r="A99">
        <v>2800063573</v>
      </c>
      <c r="B99">
        <v>271351</v>
      </c>
      <c r="C99" t="s">
        <v>18</v>
      </c>
      <c r="D99">
        <v>150.4</v>
      </c>
      <c r="F99" s="3">
        <v>44131</v>
      </c>
      <c r="G99" s="2" t="str">
        <f t="shared" si="3"/>
        <v>October</v>
      </c>
      <c r="H99" s="2" t="str">
        <f t="shared" si="4"/>
        <v>Week 5</v>
      </c>
      <c r="I99" s="2" t="str">
        <f t="shared" si="5"/>
        <v>Quarter 4</v>
      </c>
    </row>
    <row r="100" spans="1:9" x14ac:dyDescent="0.25">
      <c r="A100">
        <v>2800063574</v>
      </c>
      <c r="B100">
        <v>271351</v>
      </c>
      <c r="C100" t="s">
        <v>18</v>
      </c>
      <c r="D100">
        <v>150.15</v>
      </c>
      <c r="F100" s="3">
        <v>44131</v>
      </c>
      <c r="G100" s="2" t="str">
        <f t="shared" si="3"/>
        <v>October</v>
      </c>
      <c r="H100" s="2" t="str">
        <f t="shared" si="4"/>
        <v>Week 5</v>
      </c>
      <c r="I100" s="2" t="str">
        <f t="shared" si="5"/>
        <v>Quarter 4</v>
      </c>
    </row>
    <row r="101" spans="1:9" x14ac:dyDescent="0.25">
      <c r="A101">
        <v>2800063576</v>
      </c>
      <c r="B101">
        <v>271351</v>
      </c>
      <c r="C101" t="s">
        <v>18</v>
      </c>
      <c r="D101">
        <v>144.44999999999999</v>
      </c>
      <c r="F101" s="3">
        <v>44131</v>
      </c>
      <c r="G101" s="2" t="str">
        <f t="shared" si="3"/>
        <v>October</v>
      </c>
      <c r="H101" s="2" t="str">
        <f t="shared" si="4"/>
        <v>Week 5</v>
      </c>
      <c r="I101" s="2" t="str">
        <f t="shared" si="5"/>
        <v>Quarter 4</v>
      </c>
    </row>
    <row r="102" spans="1:9" x14ac:dyDescent="0.25">
      <c r="A102">
        <v>2800063577</v>
      </c>
      <c r="B102">
        <v>271351</v>
      </c>
      <c r="C102" t="s">
        <v>18</v>
      </c>
      <c r="D102">
        <v>140.5</v>
      </c>
      <c r="F102" s="3">
        <v>44131</v>
      </c>
      <c r="G102" s="2" t="str">
        <f t="shared" si="3"/>
        <v>October</v>
      </c>
      <c r="H102" s="2" t="str">
        <f t="shared" si="4"/>
        <v>Week 5</v>
      </c>
      <c r="I102" s="2" t="str">
        <f t="shared" si="5"/>
        <v>Quarter 4</v>
      </c>
    </row>
    <row r="103" spans="1:9" x14ac:dyDescent="0.25">
      <c r="A103">
        <v>2800063578</v>
      </c>
      <c r="B103">
        <v>271351</v>
      </c>
      <c r="C103" t="s">
        <v>18</v>
      </c>
      <c r="D103">
        <v>140.30000000000001</v>
      </c>
      <c r="F103" s="3">
        <v>44131</v>
      </c>
      <c r="G103" s="2" t="str">
        <f t="shared" si="3"/>
        <v>October</v>
      </c>
      <c r="H103" s="2" t="str">
        <f t="shared" si="4"/>
        <v>Week 5</v>
      </c>
      <c r="I103" s="2" t="str">
        <f t="shared" si="5"/>
        <v>Quarter 4</v>
      </c>
    </row>
    <row r="104" spans="1:9" x14ac:dyDescent="0.25">
      <c r="A104">
        <v>2800063582</v>
      </c>
      <c r="B104">
        <v>271351</v>
      </c>
      <c r="C104" t="s">
        <v>18</v>
      </c>
      <c r="D104">
        <v>138.69999999999999</v>
      </c>
      <c r="F104" s="3">
        <v>44131</v>
      </c>
      <c r="G104" s="2" t="str">
        <f t="shared" si="3"/>
        <v>October</v>
      </c>
      <c r="H104" s="2" t="str">
        <f t="shared" si="4"/>
        <v>Week 5</v>
      </c>
      <c r="I104" s="2" t="str">
        <f t="shared" si="5"/>
        <v>Quarter 4</v>
      </c>
    </row>
    <row r="105" spans="1:9" x14ac:dyDescent="0.25">
      <c r="A105">
        <v>2800063583</v>
      </c>
      <c r="B105">
        <v>271351</v>
      </c>
      <c r="C105" t="s">
        <v>18</v>
      </c>
      <c r="D105">
        <v>137.35</v>
      </c>
      <c r="F105" s="3">
        <v>44131</v>
      </c>
      <c r="G105" s="2" t="str">
        <f t="shared" si="3"/>
        <v>October</v>
      </c>
      <c r="H105" s="2" t="str">
        <f t="shared" si="4"/>
        <v>Week 5</v>
      </c>
      <c r="I105" s="2" t="str">
        <f t="shared" si="5"/>
        <v>Quarter 4</v>
      </c>
    </row>
    <row r="106" spans="1:9" x14ac:dyDescent="0.25">
      <c r="A106">
        <v>2800063584</v>
      </c>
      <c r="B106">
        <v>271351</v>
      </c>
      <c r="C106" t="s">
        <v>18</v>
      </c>
      <c r="D106">
        <v>133.55000000000001</v>
      </c>
      <c r="F106" s="3">
        <v>44131</v>
      </c>
      <c r="G106" s="2" t="str">
        <f t="shared" si="3"/>
        <v>October</v>
      </c>
      <c r="H106" s="2" t="str">
        <f t="shared" si="4"/>
        <v>Week 5</v>
      </c>
      <c r="I106" s="2" t="str">
        <f t="shared" si="5"/>
        <v>Quarter 4</v>
      </c>
    </row>
    <row r="107" spans="1:9" x14ac:dyDescent="0.25">
      <c r="A107">
        <v>2800063585</v>
      </c>
      <c r="B107">
        <v>271351</v>
      </c>
      <c r="C107" t="s">
        <v>18</v>
      </c>
      <c r="D107">
        <v>132.65</v>
      </c>
      <c r="F107" s="3">
        <v>44131</v>
      </c>
      <c r="G107" s="2" t="str">
        <f t="shared" si="3"/>
        <v>October</v>
      </c>
      <c r="H107" s="2" t="str">
        <f t="shared" si="4"/>
        <v>Week 5</v>
      </c>
      <c r="I107" s="2" t="str">
        <f t="shared" si="5"/>
        <v>Quarter 4</v>
      </c>
    </row>
    <row r="108" spans="1:9" x14ac:dyDescent="0.25">
      <c r="A108">
        <v>2800063590</v>
      </c>
      <c r="B108">
        <v>271351</v>
      </c>
      <c r="C108" t="s">
        <v>18</v>
      </c>
      <c r="D108">
        <v>131.65</v>
      </c>
      <c r="F108" s="3">
        <v>44131</v>
      </c>
      <c r="G108" s="2" t="str">
        <f t="shared" si="3"/>
        <v>October</v>
      </c>
      <c r="H108" s="2" t="str">
        <f t="shared" si="4"/>
        <v>Week 5</v>
      </c>
      <c r="I108" s="2" t="str">
        <f t="shared" si="5"/>
        <v>Quarter 4</v>
      </c>
    </row>
    <row r="109" spans="1:9" x14ac:dyDescent="0.25">
      <c r="A109">
        <v>2800063591</v>
      </c>
      <c r="B109">
        <v>271351</v>
      </c>
      <c r="C109" t="s">
        <v>18</v>
      </c>
      <c r="D109">
        <v>131.41</v>
      </c>
      <c r="F109" s="3">
        <v>44131</v>
      </c>
      <c r="G109" s="2" t="str">
        <f t="shared" si="3"/>
        <v>October</v>
      </c>
      <c r="H109" s="2" t="str">
        <f t="shared" si="4"/>
        <v>Week 5</v>
      </c>
      <c r="I109" s="2" t="str">
        <f t="shared" si="5"/>
        <v>Quarter 4</v>
      </c>
    </row>
    <row r="110" spans="1:9" x14ac:dyDescent="0.25">
      <c r="A110">
        <v>2800063592</v>
      </c>
      <c r="B110">
        <v>271351</v>
      </c>
      <c r="C110" t="s">
        <v>18</v>
      </c>
      <c r="D110">
        <v>129.6</v>
      </c>
      <c r="F110" s="3">
        <v>44131</v>
      </c>
      <c r="G110" s="2" t="str">
        <f t="shared" si="3"/>
        <v>October</v>
      </c>
      <c r="H110" s="2" t="str">
        <f t="shared" si="4"/>
        <v>Week 5</v>
      </c>
      <c r="I110" s="2" t="str">
        <f t="shared" si="5"/>
        <v>Quarter 4</v>
      </c>
    </row>
    <row r="111" spans="1:9" x14ac:dyDescent="0.25">
      <c r="A111">
        <v>2800063593</v>
      </c>
      <c r="B111">
        <v>271351</v>
      </c>
      <c r="C111" t="s">
        <v>18</v>
      </c>
      <c r="D111">
        <v>128.94999999999999</v>
      </c>
      <c r="F111" s="3">
        <v>44131</v>
      </c>
      <c r="G111" s="2" t="str">
        <f t="shared" si="3"/>
        <v>October</v>
      </c>
      <c r="H111" s="2" t="str">
        <f t="shared" si="4"/>
        <v>Week 5</v>
      </c>
      <c r="I111" s="2" t="str">
        <f t="shared" si="5"/>
        <v>Quarter 4</v>
      </c>
    </row>
    <row r="112" spans="1:9" x14ac:dyDescent="0.25">
      <c r="A112">
        <v>2800063595</v>
      </c>
      <c r="B112">
        <v>271351</v>
      </c>
      <c r="C112" t="s">
        <v>18</v>
      </c>
      <c r="D112">
        <v>125.6</v>
      </c>
      <c r="F112" s="3">
        <v>44131</v>
      </c>
      <c r="G112" s="2" t="str">
        <f t="shared" si="3"/>
        <v>October</v>
      </c>
      <c r="H112" s="2" t="str">
        <f t="shared" si="4"/>
        <v>Week 5</v>
      </c>
      <c r="I112" s="2" t="str">
        <f t="shared" si="5"/>
        <v>Quarter 4</v>
      </c>
    </row>
    <row r="113" spans="1:9" x14ac:dyDescent="0.25">
      <c r="A113">
        <v>2800063596</v>
      </c>
      <c r="B113">
        <v>271351</v>
      </c>
      <c r="C113" t="s">
        <v>18</v>
      </c>
      <c r="D113">
        <v>122.45</v>
      </c>
      <c r="F113" s="3">
        <v>44131</v>
      </c>
      <c r="G113" s="2" t="str">
        <f t="shared" si="3"/>
        <v>October</v>
      </c>
      <c r="H113" s="2" t="str">
        <f t="shared" si="4"/>
        <v>Week 5</v>
      </c>
      <c r="I113" s="2" t="str">
        <f t="shared" si="5"/>
        <v>Quarter 4</v>
      </c>
    </row>
    <row r="114" spans="1:9" x14ac:dyDescent="0.25">
      <c r="A114">
        <v>2800063598</v>
      </c>
      <c r="B114">
        <v>271351</v>
      </c>
      <c r="C114" t="s">
        <v>18</v>
      </c>
      <c r="D114">
        <v>121.15</v>
      </c>
      <c r="F114" s="3">
        <v>44131</v>
      </c>
      <c r="G114" s="2" t="str">
        <f t="shared" si="3"/>
        <v>October</v>
      </c>
      <c r="H114" s="2" t="str">
        <f t="shared" si="4"/>
        <v>Week 5</v>
      </c>
      <c r="I114" s="2" t="str">
        <f t="shared" si="5"/>
        <v>Quarter 4</v>
      </c>
    </row>
    <row r="115" spans="1:9" x14ac:dyDescent="0.25">
      <c r="A115">
        <v>2800063599</v>
      </c>
      <c r="B115">
        <v>271351</v>
      </c>
      <c r="C115" t="s">
        <v>18</v>
      </c>
      <c r="D115">
        <v>120.85</v>
      </c>
      <c r="F115" s="3">
        <v>44131</v>
      </c>
      <c r="G115" s="2" t="str">
        <f t="shared" si="3"/>
        <v>October</v>
      </c>
      <c r="H115" s="2" t="str">
        <f t="shared" si="4"/>
        <v>Week 5</v>
      </c>
      <c r="I115" s="2" t="str">
        <f t="shared" si="5"/>
        <v>Quarter 4</v>
      </c>
    </row>
    <row r="116" spans="1:9" x14ac:dyDescent="0.25">
      <c r="A116">
        <v>2800063602</v>
      </c>
      <c r="B116">
        <v>271351</v>
      </c>
      <c r="C116" t="s">
        <v>18</v>
      </c>
      <c r="D116">
        <v>119.6</v>
      </c>
      <c r="F116" s="3">
        <v>44131</v>
      </c>
      <c r="G116" s="2" t="str">
        <f t="shared" si="3"/>
        <v>October</v>
      </c>
      <c r="H116" s="2" t="str">
        <f t="shared" si="4"/>
        <v>Week 5</v>
      </c>
      <c r="I116" s="2" t="str">
        <f t="shared" si="5"/>
        <v>Quarter 4</v>
      </c>
    </row>
    <row r="117" spans="1:9" x14ac:dyDescent="0.25">
      <c r="A117">
        <v>2800063603</v>
      </c>
      <c r="B117">
        <v>271351</v>
      </c>
      <c r="C117" t="s">
        <v>18</v>
      </c>
      <c r="D117">
        <v>119.05</v>
      </c>
      <c r="F117" s="3">
        <v>44131</v>
      </c>
      <c r="G117" s="2" t="str">
        <f t="shared" si="3"/>
        <v>October</v>
      </c>
      <c r="H117" s="2" t="str">
        <f t="shared" si="4"/>
        <v>Week 5</v>
      </c>
      <c r="I117" s="2" t="str">
        <f t="shared" si="5"/>
        <v>Quarter 4</v>
      </c>
    </row>
    <row r="118" spans="1:9" x14ac:dyDescent="0.25">
      <c r="A118">
        <v>2800063605</v>
      </c>
      <c r="B118">
        <v>271351</v>
      </c>
      <c r="C118" t="s">
        <v>18</v>
      </c>
      <c r="D118">
        <v>116.65</v>
      </c>
      <c r="F118" s="3">
        <v>44131</v>
      </c>
      <c r="G118" s="2" t="str">
        <f t="shared" si="3"/>
        <v>October</v>
      </c>
      <c r="H118" s="2" t="str">
        <f t="shared" si="4"/>
        <v>Week 5</v>
      </c>
      <c r="I118" s="2" t="str">
        <f t="shared" si="5"/>
        <v>Quarter 4</v>
      </c>
    </row>
    <row r="119" spans="1:9" x14ac:dyDescent="0.25">
      <c r="A119">
        <v>2800063606</v>
      </c>
      <c r="B119">
        <v>271351</v>
      </c>
      <c r="C119" t="s">
        <v>18</v>
      </c>
      <c r="D119">
        <v>115.9</v>
      </c>
      <c r="F119" s="3">
        <v>44131</v>
      </c>
      <c r="G119" s="2" t="str">
        <f t="shared" si="3"/>
        <v>October</v>
      </c>
      <c r="H119" s="2" t="str">
        <f t="shared" si="4"/>
        <v>Week 5</v>
      </c>
      <c r="I119" s="2" t="str">
        <f t="shared" si="5"/>
        <v>Quarter 4</v>
      </c>
    </row>
    <row r="120" spans="1:9" x14ac:dyDescent="0.25">
      <c r="A120">
        <v>2800063607</v>
      </c>
      <c r="B120">
        <v>271351</v>
      </c>
      <c r="C120" t="s">
        <v>18</v>
      </c>
      <c r="D120">
        <v>114.3</v>
      </c>
      <c r="F120" s="3">
        <v>44131</v>
      </c>
      <c r="G120" s="2" t="str">
        <f t="shared" si="3"/>
        <v>October</v>
      </c>
      <c r="H120" s="2" t="str">
        <f t="shared" si="4"/>
        <v>Week 5</v>
      </c>
      <c r="I120" s="2" t="str">
        <f t="shared" si="5"/>
        <v>Quarter 4</v>
      </c>
    </row>
    <row r="121" spans="1:9" x14ac:dyDescent="0.25">
      <c r="A121">
        <v>2800063609</v>
      </c>
      <c r="B121">
        <v>271351</v>
      </c>
      <c r="C121" t="s">
        <v>18</v>
      </c>
      <c r="D121">
        <v>112.9</v>
      </c>
      <c r="F121" s="3">
        <v>44131</v>
      </c>
      <c r="G121" s="2" t="str">
        <f t="shared" si="3"/>
        <v>October</v>
      </c>
      <c r="H121" s="2" t="str">
        <f t="shared" si="4"/>
        <v>Week 5</v>
      </c>
      <c r="I121" s="2" t="str">
        <f t="shared" si="5"/>
        <v>Quarter 4</v>
      </c>
    </row>
    <row r="122" spans="1:9" x14ac:dyDescent="0.25">
      <c r="A122">
        <v>2800063610</v>
      </c>
      <c r="B122">
        <v>271351</v>
      </c>
      <c r="C122" t="s">
        <v>18</v>
      </c>
      <c r="D122">
        <v>111.95</v>
      </c>
      <c r="F122" s="3">
        <v>44131</v>
      </c>
      <c r="G122" s="2" t="str">
        <f t="shared" si="3"/>
        <v>October</v>
      </c>
      <c r="H122" s="2" t="str">
        <f t="shared" si="4"/>
        <v>Week 5</v>
      </c>
      <c r="I122" s="2" t="str">
        <f t="shared" si="5"/>
        <v>Quarter 4</v>
      </c>
    </row>
    <row r="123" spans="1:9" x14ac:dyDescent="0.25">
      <c r="A123">
        <v>2800063611</v>
      </c>
      <c r="B123">
        <v>271351</v>
      </c>
      <c r="C123" t="s">
        <v>18</v>
      </c>
      <c r="D123">
        <v>111</v>
      </c>
      <c r="F123" s="3">
        <v>44131</v>
      </c>
      <c r="G123" s="2" t="str">
        <f t="shared" si="3"/>
        <v>October</v>
      </c>
      <c r="H123" s="2" t="str">
        <f t="shared" si="4"/>
        <v>Week 5</v>
      </c>
      <c r="I123" s="2" t="str">
        <f t="shared" si="5"/>
        <v>Quarter 4</v>
      </c>
    </row>
    <row r="124" spans="1:9" x14ac:dyDescent="0.25">
      <c r="A124">
        <v>2800063614</v>
      </c>
      <c r="B124">
        <v>271351</v>
      </c>
      <c r="C124" t="s">
        <v>18</v>
      </c>
      <c r="D124">
        <v>108.1</v>
      </c>
      <c r="F124" s="3">
        <v>44131</v>
      </c>
      <c r="G124" s="2" t="str">
        <f t="shared" si="3"/>
        <v>October</v>
      </c>
      <c r="H124" s="2" t="str">
        <f t="shared" si="4"/>
        <v>Week 5</v>
      </c>
      <c r="I124" s="2" t="str">
        <f t="shared" si="5"/>
        <v>Quarter 4</v>
      </c>
    </row>
    <row r="125" spans="1:9" x14ac:dyDescent="0.25">
      <c r="A125">
        <v>2800063615</v>
      </c>
      <c r="B125">
        <v>271351</v>
      </c>
      <c r="C125" t="s">
        <v>18</v>
      </c>
      <c r="D125">
        <v>104.7</v>
      </c>
      <c r="F125" s="3">
        <v>44131</v>
      </c>
      <c r="G125" s="2" t="str">
        <f t="shared" si="3"/>
        <v>October</v>
      </c>
      <c r="H125" s="2" t="str">
        <f t="shared" si="4"/>
        <v>Week 5</v>
      </c>
      <c r="I125" s="2" t="str">
        <f t="shared" si="5"/>
        <v>Quarter 4</v>
      </c>
    </row>
    <row r="126" spans="1:9" x14ac:dyDescent="0.25">
      <c r="A126">
        <v>2800063616</v>
      </c>
      <c r="B126">
        <v>271351</v>
      </c>
      <c r="C126" t="s">
        <v>18</v>
      </c>
      <c r="D126">
        <v>100.85</v>
      </c>
      <c r="F126" s="3">
        <v>44131</v>
      </c>
      <c r="G126" s="2" t="str">
        <f t="shared" si="3"/>
        <v>October</v>
      </c>
      <c r="H126" s="2" t="str">
        <f t="shared" si="4"/>
        <v>Week 5</v>
      </c>
      <c r="I126" s="2" t="str">
        <f t="shared" si="5"/>
        <v>Quarter 4</v>
      </c>
    </row>
    <row r="127" spans="1:9" x14ac:dyDescent="0.25">
      <c r="A127">
        <v>2800063619</v>
      </c>
      <c r="B127">
        <v>271351</v>
      </c>
      <c r="C127" t="s">
        <v>18</v>
      </c>
      <c r="D127">
        <v>100.8</v>
      </c>
      <c r="F127" s="3">
        <v>44131</v>
      </c>
      <c r="G127" s="2" t="str">
        <f t="shared" si="3"/>
        <v>October</v>
      </c>
      <c r="H127" s="2" t="str">
        <f t="shared" si="4"/>
        <v>Week 5</v>
      </c>
      <c r="I127" s="2" t="str">
        <f t="shared" si="5"/>
        <v>Quarter 4</v>
      </c>
    </row>
    <row r="128" spans="1:9" x14ac:dyDescent="0.25">
      <c r="A128">
        <v>2800063620</v>
      </c>
      <c r="B128">
        <v>271351</v>
      </c>
      <c r="C128" t="s">
        <v>18</v>
      </c>
      <c r="D128">
        <v>98.45</v>
      </c>
      <c r="F128" s="3">
        <v>44131</v>
      </c>
      <c r="G128" s="2" t="str">
        <f t="shared" si="3"/>
        <v>October</v>
      </c>
      <c r="H128" s="2" t="str">
        <f t="shared" si="4"/>
        <v>Week 5</v>
      </c>
      <c r="I128" s="2" t="str">
        <f t="shared" si="5"/>
        <v>Quarter 4</v>
      </c>
    </row>
    <row r="129" spans="1:9" x14ac:dyDescent="0.25">
      <c r="A129">
        <v>2800063621</v>
      </c>
      <c r="B129">
        <v>271351</v>
      </c>
      <c r="C129" t="s">
        <v>18</v>
      </c>
      <c r="D129">
        <v>97.2</v>
      </c>
      <c r="F129" s="3">
        <v>44131</v>
      </c>
      <c r="G129" s="2" t="str">
        <f t="shared" si="3"/>
        <v>October</v>
      </c>
      <c r="H129" s="2" t="str">
        <f t="shared" si="4"/>
        <v>Week 5</v>
      </c>
      <c r="I129" s="2" t="str">
        <f t="shared" si="5"/>
        <v>Quarter 4</v>
      </c>
    </row>
    <row r="130" spans="1:9" x14ac:dyDescent="0.25">
      <c r="A130">
        <v>2800063622</v>
      </c>
      <c r="B130">
        <v>271351</v>
      </c>
      <c r="C130" t="s">
        <v>18</v>
      </c>
      <c r="D130">
        <v>95.7</v>
      </c>
      <c r="F130" s="3">
        <v>44131</v>
      </c>
      <c r="G130" s="2" t="str">
        <f t="shared" si="3"/>
        <v>October</v>
      </c>
      <c r="H130" s="2" t="str">
        <f t="shared" si="4"/>
        <v>Week 5</v>
      </c>
      <c r="I130" s="2" t="str">
        <f t="shared" si="5"/>
        <v>Quarter 4</v>
      </c>
    </row>
    <row r="131" spans="1:9" x14ac:dyDescent="0.25">
      <c r="A131">
        <v>2800063623</v>
      </c>
      <c r="B131">
        <v>271351</v>
      </c>
      <c r="C131" t="s">
        <v>18</v>
      </c>
      <c r="D131">
        <v>95.4</v>
      </c>
      <c r="F131" s="3">
        <v>44131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5</v>
      </c>
      <c r="I131" s="2" t="str">
        <f t="shared" ref="I131:I194" si="8">"Quarter " &amp; ROUNDUP((MONTH(F131))/3,0)</f>
        <v>Quarter 4</v>
      </c>
    </row>
    <row r="132" spans="1:9" x14ac:dyDescent="0.25">
      <c r="A132">
        <v>2800063624</v>
      </c>
      <c r="B132">
        <v>271351</v>
      </c>
      <c r="C132" t="s">
        <v>18</v>
      </c>
      <c r="D132">
        <v>94.6</v>
      </c>
      <c r="F132" s="3">
        <v>44131</v>
      </c>
      <c r="G132" s="2" t="str">
        <f t="shared" si="6"/>
        <v>October</v>
      </c>
      <c r="H132" s="2" t="str">
        <f t="shared" si="7"/>
        <v>Week 5</v>
      </c>
      <c r="I132" s="2" t="str">
        <f t="shared" si="8"/>
        <v>Quarter 4</v>
      </c>
    </row>
    <row r="133" spans="1:9" x14ac:dyDescent="0.25">
      <c r="A133">
        <v>2800063625</v>
      </c>
      <c r="B133">
        <v>271351</v>
      </c>
      <c r="C133" t="s">
        <v>18</v>
      </c>
      <c r="D133">
        <v>94.6</v>
      </c>
      <c r="F133" s="3">
        <v>44131</v>
      </c>
      <c r="G133" s="2" t="str">
        <f t="shared" si="6"/>
        <v>October</v>
      </c>
      <c r="H133" s="2" t="str">
        <f t="shared" si="7"/>
        <v>Week 5</v>
      </c>
      <c r="I133" s="2" t="str">
        <f t="shared" si="8"/>
        <v>Quarter 4</v>
      </c>
    </row>
    <row r="134" spans="1:9" x14ac:dyDescent="0.25">
      <c r="A134">
        <v>2800063626</v>
      </c>
      <c r="B134">
        <v>271351</v>
      </c>
      <c r="C134" t="s">
        <v>18</v>
      </c>
      <c r="D134">
        <v>90.2</v>
      </c>
      <c r="F134" s="3">
        <v>44131</v>
      </c>
      <c r="G134" s="2" t="str">
        <f t="shared" si="6"/>
        <v>October</v>
      </c>
      <c r="H134" s="2" t="str">
        <f t="shared" si="7"/>
        <v>Week 5</v>
      </c>
      <c r="I134" s="2" t="str">
        <f t="shared" si="8"/>
        <v>Quarter 4</v>
      </c>
    </row>
    <row r="135" spans="1:9" x14ac:dyDescent="0.25">
      <c r="A135">
        <v>2800063627</v>
      </c>
      <c r="B135">
        <v>271351</v>
      </c>
      <c r="C135" t="s">
        <v>18</v>
      </c>
      <c r="D135">
        <v>88.8</v>
      </c>
      <c r="F135" s="3">
        <v>44131</v>
      </c>
      <c r="G135" s="2" t="str">
        <f t="shared" si="6"/>
        <v>October</v>
      </c>
      <c r="H135" s="2" t="str">
        <f t="shared" si="7"/>
        <v>Week 5</v>
      </c>
      <c r="I135" s="2" t="str">
        <f t="shared" si="8"/>
        <v>Quarter 4</v>
      </c>
    </row>
    <row r="136" spans="1:9" x14ac:dyDescent="0.25">
      <c r="A136">
        <v>2800063628</v>
      </c>
      <c r="B136">
        <v>271351</v>
      </c>
      <c r="C136" t="s">
        <v>18</v>
      </c>
      <c r="D136">
        <v>87.05</v>
      </c>
      <c r="F136" s="3">
        <v>44131</v>
      </c>
      <c r="G136" s="2" t="str">
        <f t="shared" si="6"/>
        <v>October</v>
      </c>
      <c r="H136" s="2" t="str">
        <f t="shared" si="7"/>
        <v>Week 5</v>
      </c>
      <c r="I136" s="2" t="str">
        <f t="shared" si="8"/>
        <v>Quarter 4</v>
      </c>
    </row>
    <row r="137" spans="1:9" x14ac:dyDescent="0.25">
      <c r="A137">
        <v>2800063629</v>
      </c>
      <c r="B137">
        <v>271351</v>
      </c>
      <c r="C137" t="s">
        <v>18</v>
      </c>
      <c r="D137">
        <v>86.85</v>
      </c>
      <c r="F137" s="3">
        <v>44131</v>
      </c>
      <c r="G137" s="2" t="str">
        <f t="shared" si="6"/>
        <v>October</v>
      </c>
      <c r="H137" s="2" t="str">
        <f t="shared" si="7"/>
        <v>Week 5</v>
      </c>
      <c r="I137" s="2" t="str">
        <f t="shared" si="8"/>
        <v>Quarter 4</v>
      </c>
    </row>
    <row r="138" spans="1:9" x14ac:dyDescent="0.25">
      <c r="A138">
        <v>2800063630</v>
      </c>
      <c r="B138">
        <v>271351</v>
      </c>
      <c r="C138" t="s">
        <v>18</v>
      </c>
      <c r="D138">
        <v>83.15</v>
      </c>
      <c r="F138" s="3">
        <v>44131</v>
      </c>
      <c r="G138" s="2" t="str">
        <f t="shared" si="6"/>
        <v>October</v>
      </c>
      <c r="H138" s="2" t="str">
        <f t="shared" si="7"/>
        <v>Week 5</v>
      </c>
      <c r="I138" s="2" t="str">
        <f t="shared" si="8"/>
        <v>Quarter 4</v>
      </c>
    </row>
    <row r="139" spans="1:9" x14ac:dyDescent="0.25">
      <c r="A139">
        <v>2800063645</v>
      </c>
      <c r="B139">
        <v>271351</v>
      </c>
      <c r="C139" t="s">
        <v>18</v>
      </c>
      <c r="D139">
        <v>82.65</v>
      </c>
      <c r="F139" s="3">
        <v>44131</v>
      </c>
      <c r="G139" s="2" t="str">
        <f t="shared" si="6"/>
        <v>October</v>
      </c>
      <c r="H139" s="2" t="str">
        <f t="shared" si="7"/>
        <v>Week 5</v>
      </c>
      <c r="I139" s="2" t="str">
        <f t="shared" si="8"/>
        <v>Quarter 4</v>
      </c>
    </row>
    <row r="140" spans="1:9" x14ac:dyDescent="0.25">
      <c r="A140">
        <v>2800063646</v>
      </c>
      <c r="B140">
        <v>271351</v>
      </c>
      <c r="C140" t="s">
        <v>18</v>
      </c>
      <c r="D140">
        <v>82.45</v>
      </c>
      <c r="F140" s="3">
        <v>44131</v>
      </c>
      <c r="G140" s="2" t="str">
        <f t="shared" si="6"/>
        <v>October</v>
      </c>
      <c r="H140" s="2" t="str">
        <f t="shared" si="7"/>
        <v>Week 5</v>
      </c>
      <c r="I140" s="2" t="str">
        <f t="shared" si="8"/>
        <v>Quarter 4</v>
      </c>
    </row>
    <row r="141" spans="1:9" x14ac:dyDescent="0.25">
      <c r="A141">
        <v>2800063647</v>
      </c>
      <c r="B141">
        <v>271351</v>
      </c>
      <c r="C141" t="s">
        <v>18</v>
      </c>
      <c r="D141">
        <v>82.4</v>
      </c>
      <c r="F141" s="3">
        <v>44131</v>
      </c>
      <c r="G141" s="2" t="str">
        <f t="shared" si="6"/>
        <v>October</v>
      </c>
      <c r="H141" s="2" t="str">
        <f t="shared" si="7"/>
        <v>Week 5</v>
      </c>
      <c r="I141" s="2" t="str">
        <f t="shared" si="8"/>
        <v>Quarter 4</v>
      </c>
    </row>
    <row r="142" spans="1:9" x14ac:dyDescent="0.25">
      <c r="A142">
        <v>2800063648</v>
      </c>
      <c r="B142">
        <v>271351</v>
      </c>
      <c r="C142" t="s">
        <v>18</v>
      </c>
      <c r="D142">
        <v>81.5</v>
      </c>
      <c r="F142" s="3">
        <v>44131</v>
      </c>
      <c r="G142" s="2" t="str">
        <f t="shared" si="6"/>
        <v>October</v>
      </c>
      <c r="H142" s="2" t="str">
        <f t="shared" si="7"/>
        <v>Week 5</v>
      </c>
      <c r="I142" s="2" t="str">
        <f t="shared" si="8"/>
        <v>Quarter 4</v>
      </c>
    </row>
    <row r="143" spans="1:9" x14ac:dyDescent="0.25">
      <c r="A143">
        <v>2800063649</v>
      </c>
      <c r="B143">
        <v>271351</v>
      </c>
      <c r="C143" t="s">
        <v>18</v>
      </c>
      <c r="D143">
        <v>81.45</v>
      </c>
      <c r="F143" s="3">
        <v>44131</v>
      </c>
      <c r="G143" s="2" t="str">
        <f t="shared" si="6"/>
        <v>October</v>
      </c>
      <c r="H143" s="2" t="str">
        <f t="shared" si="7"/>
        <v>Week 5</v>
      </c>
      <c r="I143" s="2" t="str">
        <f t="shared" si="8"/>
        <v>Quarter 4</v>
      </c>
    </row>
    <row r="144" spans="1:9" x14ac:dyDescent="0.25">
      <c r="A144">
        <v>2800063650</v>
      </c>
      <c r="B144">
        <v>271351</v>
      </c>
      <c r="C144" t="s">
        <v>18</v>
      </c>
      <c r="D144">
        <v>79.900000000000006</v>
      </c>
      <c r="F144" s="3">
        <v>44131</v>
      </c>
      <c r="G144" s="2" t="str">
        <f t="shared" si="6"/>
        <v>October</v>
      </c>
      <c r="H144" s="2" t="str">
        <f t="shared" si="7"/>
        <v>Week 5</v>
      </c>
      <c r="I144" s="2" t="str">
        <f t="shared" si="8"/>
        <v>Quarter 4</v>
      </c>
    </row>
    <row r="145" spans="1:9" x14ac:dyDescent="0.25">
      <c r="A145">
        <v>2800063651</v>
      </c>
      <c r="B145">
        <v>271351</v>
      </c>
      <c r="C145" t="s">
        <v>18</v>
      </c>
      <c r="D145">
        <v>77.25</v>
      </c>
      <c r="F145" s="3">
        <v>44131</v>
      </c>
      <c r="G145" s="2" t="str">
        <f t="shared" si="6"/>
        <v>October</v>
      </c>
      <c r="H145" s="2" t="str">
        <f t="shared" si="7"/>
        <v>Week 5</v>
      </c>
      <c r="I145" s="2" t="str">
        <f t="shared" si="8"/>
        <v>Quarter 4</v>
      </c>
    </row>
    <row r="146" spans="1:9" x14ac:dyDescent="0.25">
      <c r="A146">
        <v>2800063652</v>
      </c>
      <c r="B146">
        <v>271351</v>
      </c>
      <c r="C146" t="s">
        <v>18</v>
      </c>
      <c r="D146">
        <v>76.900000000000006</v>
      </c>
      <c r="F146" s="3">
        <v>44131</v>
      </c>
      <c r="G146" s="2" t="str">
        <f t="shared" si="6"/>
        <v>October</v>
      </c>
      <c r="H146" s="2" t="str">
        <f t="shared" si="7"/>
        <v>Week 5</v>
      </c>
      <c r="I146" s="2" t="str">
        <f t="shared" si="8"/>
        <v>Quarter 4</v>
      </c>
    </row>
    <row r="147" spans="1:9" x14ac:dyDescent="0.25">
      <c r="A147">
        <v>2800063653</v>
      </c>
      <c r="B147">
        <v>271351</v>
      </c>
      <c r="C147" t="s">
        <v>18</v>
      </c>
      <c r="D147">
        <v>72.7</v>
      </c>
      <c r="F147" s="3">
        <v>44131</v>
      </c>
      <c r="G147" s="2" t="str">
        <f t="shared" si="6"/>
        <v>October</v>
      </c>
      <c r="H147" s="2" t="str">
        <f t="shared" si="7"/>
        <v>Week 5</v>
      </c>
      <c r="I147" s="2" t="str">
        <f t="shared" si="8"/>
        <v>Quarter 4</v>
      </c>
    </row>
    <row r="148" spans="1:9" x14ac:dyDescent="0.25">
      <c r="A148">
        <v>2800063654</v>
      </c>
      <c r="B148">
        <v>271351</v>
      </c>
      <c r="C148" t="s">
        <v>18</v>
      </c>
      <c r="D148">
        <v>72.05</v>
      </c>
      <c r="F148" s="3">
        <v>44131</v>
      </c>
      <c r="G148" s="2" t="str">
        <f t="shared" si="6"/>
        <v>October</v>
      </c>
      <c r="H148" s="2" t="str">
        <f t="shared" si="7"/>
        <v>Week 5</v>
      </c>
      <c r="I148" s="2" t="str">
        <f t="shared" si="8"/>
        <v>Quarter 4</v>
      </c>
    </row>
    <row r="149" spans="1:9" x14ac:dyDescent="0.25">
      <c r="A149">
        <v>2800063655</v>
      </c>
      <c r="B149">
        <v>271351</v>
      </c>
      <c r="C149" t="s">
        <v>18</v>
      </c>
      <c r="D149">
        <v>69.650000000000006</v>
      </c>
      <c r="F149" s="3">
        <v>44131</v>
      </c>
      <c r="G149" s="2" t="str">
        <f t="shared" si="6"/>
        <v>October</v>
      </c>
      <c r="H149" s="2" t="str">
        <f t="shared" si="7"/>
        <v>Week 5</v>
      </c>
      <c r="I149" s="2" t="str">
        <f t="shared" si="8"/>
        <v>Quarter 4</v>
      </c>
    </row>
    <row r="150" spans="1:9" x14ac:dyDescent="0.25">
      <c r="A150">
        <v>2800063677</v>
      </c>
      <c r="B150">
        <v>271351</v>
      </c>
      <c r="C150" t="s">
        <v>18</v>
      </c>
      <c r="D150">
        <v>68.5</v>
      </c>
      <c r="F150" s="3">
        <v>44131</v>
      </c>
      <c r="G150" s="2" t="str">
        <f t="shared" si="6"/>
        <v>October</v>
      </c>
      <c r="H150" s="2" t="str">
        <f t="shared" si="7"/>
        <v>Week 5</v>
      </c>
      <c r="I150" s="2" t="str">
        <f t="shared" si="8"/>
        <v>Quarter 4</v>
      </c>
    </row>
    <row r="151" spans="1:9" x14ac:dyDescent="0.25">
      <c r="A151">
        <v>2800063678</v>
      </c>
      <c r="B151">
        <v>271351</v>
      </c>
      <c r="C151" t="s">
        <v>18</v>
      </c>
      <c r="D151">
        <v>67.55</v>
      </c>
      <c r="F151" s="3">
        <v>44131</v>
      </c>
      <c r="G151" s="2" t="str">
        <f t="shared" si="6"/>
        <v>October</v>
      </c>
      <c r="H151" s="2" t="str">
        <f t="shared" si="7"/>
        <v>Week 5</v>
      </c>
      <c r="I151" s="2" t="str">
        <f t="shared" si="8"/>
        <v>Quarter 4</v>
      </c>
    </row>
    <row r="152" spans="1:9" x14ac:dyDescent="0.25">
      <c r="A152">
        <v>2800063679</v>
      </c>
      <c r="B152">
        <v>271351</v>
      </c>
      <c r="C152" t="s">
        <v>18</v>
      </c>
      <c r="D152">
        <v>65</v>
      </c>
      <c r="F152" s="3">
        <v>44131</v>
      </c>
      <c r="G152" s="2" t="str">
        <f t="shared" si="6"/>
        <v>October</v>
      </c>
      <c r="H152" s="2" t="str">
        <f t="shared" si="7"/>
        <v>Week 5</v>
      </c>
      <c r="I152" s="2" t="str">
        <f t="shared" si="8"/>
        <v>Quarter 4</v>
      </c>
    </row>
    <row r="153" spans="1:9" x14ac:dyDescent="0.25">
      <c r="A153">
        <v>2800063680</v>
      </c>
      <c r="B153">
        <v>271351</v>
      </c>
      <c r="C153" t="s">
        <v>18</v>
      </c>
      <c r="D153">
        <v>63.25</v>
      </c>
      <c r="F153" s="3">
        <v>44131</v>
      </c>
      <c r="G153" s="2" t="str">
        <f t="shared" si="6"/>
        <v>October</v>
      </c>
      <c r="H153" s="2" t="str">
        <f t="shared" si="7"/>
        <v>Week 5</v>
      </c>
      <c r="I153" s="2" t="str">
        <f t="shared" si="8"/>
        <v>Quarter 4</v>
      </c>
    </row>
    <row r="154" spans="1:9" x14ac:dyDescent="0.25">
      <c r="A154">
        <v>2800063681</v>
      </c>
      <c r="B154">
        <v>271351</v>
      </c>
      <c r="C154" t="s">
        <v>18</v>
      </c>
      <c r="D154">
        <v>62.6</v>
      </c>
      <c r="F154" s="3">
        <v>44131</v>
      </c>
      <c r="G154" s="2" t="str">
        <f t="shared" si="6"/>
        <v>October</v>
      </c>
      <c r="H154" s="2" t="str">
        <f t="shared" si="7"/>
        <v>Week 5</v>
      </c>
      <c r="I154" s="2" t="str">
        <f t="shared" si="8"/>
        <v>Quarter 4</v>
      </c>
    </row>
    <row r="155" spans="1:9" x14ac:dyDescent="0.25">
      <c r="A155">
        <v>2800063682</v>
      </c>
      <c r="B155">
        <v>271351</v>
      </c>
      <c r="C155" t="s">
        <v>18</v>
      </c>
      <c r="D155">
        <v>62.35</v>
      </c>
      <c r="F155" s="3">
        <v>44131</v>
      </c>
      <c r="G155" s="2" t="str">
        <f t="shared" si="6"/>
        <v>October</v>
      </c>
      <c r="H155" s="2" t="str">
        <f t="shared" si="7"/>
        <v>Week 5</v>
      </c>
      <c r="I155" s="2" t="str">
        <f t="shared" si="8"/>
        <v>Quarter 4</v>
      </c>
    </row>
    <row r="156" spans="1:9" x14ac:dyDescent="0.25">
      <c r="A156">
        <v>2800063683</v>
      </c>
      <c r="B156">
        <v>271351</v>
      </c>
      <c r="C156" t="s">
        <v>18</v>
      </c>
      <c r="D156">
        <v>56.7</v>
      </c>
      <c r="F156" s="3">
        <v>44131</v>
      </c>
      <c r="G156" s="2" t="str">
        <f t="shared" si="6"/>
        <v>October</v>
      </c>
      <c r="H156" s="2" t="str">
        <f t="shared" si="7"/>
        <v>Week 5</v>
      </c>
      <c r="I156" s="2" t="str">
        <f t="shared" si="8"/>
        <v>Quarter 4</v>
      </c>
    </row>
    <row r="157" spans="1:9" x14ac:dyDescent="0.25">
      <c r="A157">
        <v>2800063684</v>
      </c>
      <c r="B157">
        <v>271351</v>
      </c>
      <c r="C157" t="s">
        <v>18</v>
      </c>
      <c r="D157">
        <v>55.85</v>
      </c>
      <c r="F157" s="3">
        <v>44131</v>
      </c>
      <c r="G157" s="2" t="str">
        <f t="shared" si="6"/>
        <v>October</v>
      </c>
      <c r="H157" s="2" t="str">
        <f t="shared" si="7"/>
        <v>Week 5</v>
      </c>
      <c r="I157" s="2" t="str">
        <f t="shared" si="8"/>
        <v>Quarter 4</v>
      </c>
    </row>
    <row r="158" spans="1:9" x14ac:dyDescent="0.25">
      <c r="A158">
        <v>2800063685</v>
      </c>
      <c r="B158">
        <v>271351</v>
      </c>
      <c r="C158" t="s">
        <v>18</v>
      </c>
      <c r="D158">
        <v>55</v>
      </c>
      <c r="F158" s="3">
        <v>44131</v>
      </c>
      <c r="G158" s="2" t="str">
        <f t="shared" si="6"/>
        <v>October</v>
      </c>
      <c r="H158" s="2" t="str">
        <f t="shared" si="7"/>
        <v>Week 5</v>
      </c>
      <c r="I158" s="2" t="str">
        <f t="shared" si="8"/>
        <v>Quarter 4</v>
      </c>
    </row>
    <row r="159" spans="1:9" x14ac:dyDescent="0.25">
      <c r="A159">
        <v>2800063686</v>
      </c>
      <c r="B159">
        <v>271351</v>
      </c>
      <c r="C159" t="s">
        <v>18</v>
      </c>
      <c r="D159">
        <v>53.95</v>
      </c>
      <c r="F159" s="3">
        <v>44131</v>
      </c>
      <c r="G159" s="2" t="str">
        <f t="shared" si="6"/>
        <v>October</v>
      </c>
      <c r="H159" s="2" t="str">
        <f t="shared" si="7"/>
        <v>Week 5</v>
      </c>
      <c r="I159" s="2" t="str">
        <f t="shared" si="8"/>
        <v>Quarter 4</v>
      </c>
    </row>
    <row r="160" spans="1:9" x14ac:dyDescent="0.25">
      <c r="A160">
        <v>2800063687</v>
      </c>
      <c r="B160">
        <v>271351</v>
      </c>
      <c r="C160" t="s">
        <v>18</v>
      </c>
      <c r="D160">
        <v>53.15</v>
      </c>
      <c r="F160" s="3">
        <v>44131</v>
      </c>
      <c r="G160" s="2" t="str">
        <f t="shared" si="6"/>
        <v>October</v>
      </c>
      <c r="H160" s="2" t="str">
        <f t="shared" si="7"/>
        <v>Week 5</v>
      </c>
      <c r="I160" s="2" t="str">
        <f t="shared" si="8"/>
        <v>Quarter 4</v>
      </c>
    </row>
    <row r="161" spans="1:9" x14ac:dyDescent="0.25">
      <c r="A161">
        <v>2800063688</v>
      </c>
      <c r="B161">
        <v>271351</v>
      </c>
      <c r="C161" t="s">
        <v>18</v>
      </c>
      <c r="D161">
        <v>51.95</v>
      </c>
      <c r="F161" s="3">
        <v>44131</v>
      </c>
      <c r="G161" s="2" t="str">
        <f t="shared" si="6"/>
        <v>October</v>
      </c>
      <c r="H161" s="2" t="str">
        <f t="shared" si="7"/>
        <v>Week 5</v>
      </c>
      <c r="I161" s="2" t="str">
        <f t="shared" si="8"/>
        <v>Quarter 4</v>
      </c>
    </row>
    <row r="162" spans="1:9" x14ac:dyDescent="0.25">
      <c r="A162">
        <v>2800063689</v>
      </c>
      <c r="B162">
        <v>271351</v>
      </c>
      <c r="C162" t="s">
        <v>18</v>
      </c>
      <c r="D162">
        <v>49</v>
      </c>
      <c r="F162" s="3">
        <v>44131</v>
      </c>
      <c r="G162" s="2" t="str">
        <f t="shared" si="6"/>
        <v>October</v>
      </c>
      <c r="H162" s="2" t="str">
        <f t="shared" si="7"/>
        <v>Week 5</v>
      </c>
      <c r="I162" s="2" t="str">
        <f t="shared" si="8"/>
        <v>Quarter 4</v>
      </c>
    </row>
    <row r="163" spans="1:9" x14ac:dyDescent="0.25">
      <c r="A163">
        <v>2800063690</v>
      </c>
      <c r="B163">
        <v>271351</v>
      </c>
      <c r="C163" t="s">
        <v>18</v>
      </c>
      <c r="D163">
        <v>47.8</v>
      </c>
      <c r="F163" s="3">
        <v>44131</v>
      </c>
      <c r="G163" s="2" t="str">
        <f t="shared" si="6"/>
        <v>October</v>
      </c>
      <c r="H163" s="2" t="str">
        <f t="shared" si="7"/>
        <v>Week 5</v>
      </c>
      <c r="I163" s="2" t="str">
        <f t="shared" si="8"/>
        <v>Quarter 4</v>
      </c>
    </row>
    <row r="164" spans="1:9" x14ac:dyDescent="0.25">
      <c r="A164">
        <v>2800063691</v>
      </c>
      <c r="B164">
        <v>271351</v>
      </c>
      <c r="C164" t="s">
        <v>18</v>
      </c>
      <c r="D164">
        <v>45.75</v>
      </c>
      <c r="F164" s="3">
        <v>44131</v>
      </c>
      <c r="G164" s="2" t="str">
        <f t="shared" si="6"/>
        <v>October</v>
      </c>
      <c r="H164" s="2" t="str">
        <f t="shared" si="7"/>
        <v>Week 5</v>
      </c>
      <c r="I164" s="2" t="str">
        <f t="shared" si="8"/>
        <v>Quarter 4</v>
      </c>
    </row>
    <row r="165" spans="1:9" x14ac:dyDescent="0.25">
      <c r="A165">
        <v>2800063692</v>
      </c>
      <c r="B165">
        <v>271351</v>
      </c>
      <c r="C165" t="s">
        <v>18</v>
      </c>
      <c r="D165">
        <v>45.3</v>
      </c>
      <c r="F165" s="3">
        <v>44131</v>
      </c>
      <c r="G165" s="2" t="str">
        <f t="shared" si="6"/>
        <v>October</v>
      </c>
      <c r="H165" s="2" t="str">
        <f t="shared" si="7"/>
        <v>Week 5</v>
      </c>
      <c r="I165" s="2" t="str">
        <f t="shared" si="8"/>
        <v>Quarter 4</v>
      </c>
    </row>
    <row r="166" spans="1:9" x14ac:dyDescent="0.25">
      <c r="A166">
        <v>2800063694</v>
      </c>
      <c r="B166">
        <v>271351</v>
      </c>
      <c r="C166" t="s">
        <v>18</v>
      </c>
      <c r="D166">
        <v>43.65</v>
      </c>
      <c r="F166" s="3">
        <v>44131</v>
      </c>
      <c r="G166" s="2" t="str">
        <f t="shared" si="6"/>
        <v>October</v>
      </c>
      <c r="H166" s="2" t="str">
        <f t="shared" si="7"/>
        <v>Week 5</v>
      </c>
      <c r="I166" s="2" t="str">
        <f t="shared" si="8"/>
        <v>Quarter 4</v>
      </c>
    </row>
    <row r="167" spans="1:9" x14ac:dyDescent="0.25">
      <c r="A167">
        <v>2800063695</v>
      </c>
      <c r="B167">
        <v>271351</v>
      </c>
      <c r="C167" t="s">
        <v>18</v>
      </c>
      <c r="D167">
        <v>41.55</v>
      </c>
      <c r="F167" s="3">
        <v>44131</v>
      </c>
      <c r="G167" s="2" t="str">
        <f t="shared" si="6"/>
        <v>October</v>
      </c>
      <c r="H167" s="2" t="str">
        <f t="shared" si="7"/>
        <v>Week 5</v>
      </c>
      <c r="I167" s="2" t="str">
        <f t="shared" si="8"/>
        <v>Quarter 4</v>
      </c>
    </row>
    <row r="168" spans="1:9" x14ac:dyDescent="0.25">
      <c r="A168">
        <v>2800063696</v>
      </c>
      <c r="B168">
        <v>271351</v>
      </c>
      <c r="C168" t="s">
        <v>18</v>
      </c>
      <c r="D168">
        <v>41.45</v>
      </c>
      <c r="F168" s="3">
        <v>44131</v>
      </c>
      <c r="G168" s="2" t="str">
        <f t="shared" si="6"/>
        <v>October</v>
      </c>
      <c r="H168" s="2" t="str">
        <f t="shared" si="7"/>
        <v>Week 5</v>
      </c>
      <c r="I168" s="2" t="str">
        <f t="shared" si="8"/>
        <v>Quarter 4</v>
      </c>
    </row>
    <row r="169" spans="1:9" x14ac:dyDescent="0.25">
      <c r="A169">
        <v>2800063697</v>
      </c>
      <c r="B169">
        <v>271351</v>
      </c>
      <c r="C169" t="s">
        <v>18</v>
      </c>
      <c r="D169">
        <v>40.950000000000003</v>
      </c>
      <c r="F169" s="3">
        <v>44131</v>
      </c>
      <c r="G169" s="2" t="str">
        <f t="shared" si="6"/>
        <v>October</v>
      </c>
      <c r="H169" s="2" t="str">
        <f t="shared" si="7"/>
        <v>Week 5</v>
      </c>
      <c r="I169" s="2" t="str">
        <f t="shared" si="8"/>
        <v>Quarter 4</v>
      </c>
    </row>
    <row r="170" spans="1:9" x14ac:dyDescent="0.25">
      <c r="A170">
        <v>2800063698</v>
      </c>
      <c r="B170">
        <v>271351</v>
      </c>
      <c r="C170" t="s">
        <v>18</v>
      </c>
      <c r="D170">
        <v>40.549999999999997</v>
      </c>
      <c r="F170" s="3">
        <v>44131</v>
      </c>
      <c r="G170" s="2" t="str">
        <f t="shared" si="6"/>
        <v>October</v>
      </c>
      <c r="H170" s="2" t="str">
        <f t="shared" si="7"/>
        <v>Week 5</v>
      </c>
      <c r="I170" s="2" t="str">
        <f t="shared" si="8"/>
        <v>Quarter 4</v>
      </c>
    </row>
    <row r="171" spans="1:9" x14ac:dyDescent="0.25">
      <c r="A171">
        <v>2800063699</v>
      </c>
      <c r="B171">
        <v>271351</v>
      </c>
      <c r="C171" t="s">
        <v>18</v>
      </c>
      <c r="D171">
        <v>39.950000000000003</v>
      </c>
      <c r="F171" s="3">
        <v>44131</v>
      </c>
      <c r="G171" s="2" t="str">
        <f t="shared" si="6"/>
        <v>October</v>
      </c>
      <c r="H171" s="2" t="str">
        <f t="shared" si="7"/>
        <v>Week 5</v>
      </c>
      <c r="I171" s="2" t="str">
        <f t="shared" si="8"/>
        <v>Quarter 4</v>
      </c>
    </row>
    <row r="172" spans="1:9" x14ac:dyDescent="0.25">
      <c r="A172">
        <v>2800063700</v>
      </c>
      <c r="B172">
        <v>271351</v>
      </c>
      <c r="C172" t="s">
        <v>18</v>
      </c>
      <c r="D172">
        <v>39.700000000000003</v>
      </c>
      <c r="F172" s="3">
        <v>44131</v>
      </c>
      <c r="G172" s="2" t="str">
        <f t="shared" si="6"/>
        <v>October</v>
      </c>
      <c r="H172" s="2" t="str">
        <f t="shared" si="7"/>
        <v>Week 5</v>
      </c>
      <c r="I172" s="2" t="str">
        <f t="shared" si="8"/>
        <v>Quarter 4</v>
      </c>
    </row>
    <row r="173" spans="1:9" x14ac:dyDescent="0.25">
      <c r="A173">
        <v>2800063701</v>
      </c>
      <c r="B173">
        <v>271351</v>
      </c>
      <c r="C173" t="s">
        <v>18</v>
      </c>
      <c r="D173">
        <v>38.450000000000003</v>
      </c>
      <c r="F173" s="3">
        <v>44131</v>
      </c>
      <c r="G173" s="2" t="str">
        <f t="shared" si="6"/>
        <v>October</v>
      </c>
      <c r="H173" s="2" t="str">
        <f t="shared" si="7"/>
        <v>Week 5</v>
      </c>
      <c r="I173" s="2" t="str">
        <f t="shared" si="8"/>
        <v>Quarter 4</v>
      </c>
    </row>
    <row r="174" spans="1:9" x14ac:dyDescent="0.25">
      <c r="A174">
        <v>2800063702</v>
      </c>
      <c r="B174">
        <v>271351</v>
      </c>
      <c r="C174" t="s">
        <v>18</v>
      </c>
      <c r="D174">
        <v>37.549999999999997</v>
      </c>
      <c r="F174" s="3">
        <v>44131</v>
      </c>
      <c r="G174" s="2" t="str">
        <f t="shared" si="6"/>
        <v>October</v>
      </c>
      <c r="H174" s="2" t="str">
        <f t="shared" si="7"/>
        <v>Week 5</v>
      </c>
      <c r="I174" s="2" t="str">
        <f t="shared" si="8"/>
        <v>Quarter 4</v>
      </c>
    </row>
    <row r="175" spans="1:9" x14ac:dyDescent="0.25">
      <c r="A175">
        <v>2800063703</v>
      </c>
      <c r="B175">
        <v>271351</v>
      </c>
      <c r="C175" t="s">
        <v>18</v>
      </c>
      <c r="D175">
        <v>37.1</v>
      </c>
      <c r="F175" s="3">
        <v>44131</v>
      </c>
      <c r="G175" s="2" t="str">
        <f t="shared" si="6"/>
        <v>October</v>
      </c>
      <c r="H175" s="2" t="str">
        <f t="shared" si="7"/>
        <v>Week 5</v>
      </c>
      <c r="I175" s="2" t="str">
        <f t="shared" si="8"/>
        <v>Quarter 4</v>
      </c>
    </row>
    <row r="176" spans="1:9" x14ac:dyDescent="0.25">
      <c r="A176">
        <v>2800063704</v>
      </c>
      <c r="B176">
        <v>271351</v>
      </c>
      <c r="C176" t="s">
        <v>18</v>
      </c>
      <c r="D176">
        <v>36.35</v>
      </c>
      <c r="F176" s="3">
        <v>44131</v>
      </c>
      <c r="G176" s="2" t="str">
        <f t="shared" si="6"/>
        <v>October</v>
      </c>
      <c r="H176" s="2" t="str">
        <f t="shared" si="7"/>
        <v>Week 5</v>
      </c>
      <c r="I176" s="2" t="str">
        <f t="shared" si="8"/>
        <v>Quarter 4</v>
      </c>
    </row>
    <row r="177" spans="1:9" x14ac:dyDescent="0.25">
      <c r="A177">
        <v>2800063705</v>
      </c>
      <c r="B177">
        <v>271351</v>
      </c>
      <c r="C177" t="s">
        <v>18</v>
      </c>
      <c r="D177">
        <v>35.6</v>
      </c>
      <c r="F177" s="3">
        <v>44131</v>
      </c>
      <c r="G177" s="2" t="str">
        <f t="shared" si="6"/>
        <v>October</v>
      </c>
      <c r="H177" s="2" t="str">
        <f t="shared" si="7"/>
        <v>Week 5</v>
      </c>
      <c r="I177" s="2" t="str">
        <f t="shared" si="8"/>
        <v>Quarter 4</v>
      </c>
    </row>
    <row r="178" spans="1:9" x14ac:dyDescent="0.25">
      <c r="A178">
        <v>2800063706</v>
      </c>
      <c r="B178">
        <v>271351</v>
      </c>
      <c r="C178" t="s">
        <v>18</v>
      </c>
      <c r="D178">
        <v>34.75</v>
      </c>
      <c r="F178" s="3">
        <v>44131</v>
      </c>
      <c r="G178" s="2" t="str">
        <f t="shared" si="6"/>
        <v>October</v>
      </c>
      <c r="H178" s="2" t="str">
        <f t="shared" si="7"/>
        <v>Week 5</v>
      </c>
      <c r="I178" s="2" t="str">
        <f t="shared" si="8"/>
        <v>Quarter 4</v>
      </c>
    </row>
    <row r="179" spans="1:9" x14ac:dyDescent="0.25">
      <c r="A179">
        <v>2800063707</v>
      </c>
      <c r="B179">
        <v>271351</v>
      </c>
      <c r="C179" t="s">
        <v>18</v>
      </c>
      <c r="D179">
        <v>34.75</v>
      </c>
      <c r="F179" s="3">
        <v>44131</v>
      </c>
      <c r="G179" s="2" t="str">
        <f t="shared" si="6"/>
        <v>October</v>
      </c>
      <c r="H179" s="2" t="str">
        <f t="shared" si="7"/>
        <v>Week 5</v>
      </c>
      <c r="I179" s="2" t="str">
        <f t="shared" si="8"/>
        <v>Quarter 4</v>
      </c>
    </row>
    <row r="180" spans="1:9" x14ac:dyDescent="0.25">
      <c r="A180">
        <v>2800063708</v>
      </c>
      <c r="B180">
        <v>271351</v>
      </c>
      <c r="C180" t="s">
        <v>18</v>
      </c>
      <c r="D180">
        <v>34.15</v>
      </c>
      <c r="F180" s="3">
        <v>44131</v>
      </c>
      <c r="G180" s="2" t="str">
        <f t="shared" si="6"/>
        <v>October</v>
      </c>
      <c r="H180" s="2" t="str">
        <f t="shared" si="7"/>
        <v>Week 5</v>
      </c>
      <c r="I180" s="2" t="str">
        <f t="shared" si="8"/>
        <v>Quarter 4</v>
      </c>
    </row>
    <row r="181" spans="1:9" x14ac:dyDescent="0.25">
      <c r="A181">
        <v>2800063709</v>
      </c>
      <c r="B181">
        <v>271351</v>
      </c>
      <c r="C181" t="s">
        <v>18</v>
      </c>
      <c r="D181">
        <v>33.85</v>
      </c>
      <c r="F181" s="3">
        <v>44131</v>
      </c>
      <c r="G181" s="2" t="str">
        <f t="shared" si="6"/>
        <v>October</v>
      </c>
      <c r="H181" s="2" t="str">
        <f t="shared" si="7"/>
        <v>Week 5</v>
      </c>
      <c r="I181" s="2" t="str">
        <f t="shared" si="8"/>
        <v>Quarter 4</v>
      </c>
    </row>
    <row r="182" spans="1:9" x14ac:dyDescent="0.25">
      <c r="A182">
        <v>2800063710</v>
      </c>
      <c r="B182">
        <v>271351</v>
      </c>
      <c r="C182" t="s">
        <v>18</v>
      </c>
      <c r="D182">
        <v>32.9</v>
      </c>
      <c r="F182" s="3">
        <v>44131</v>
      </c>
      <c r="G182" s="2" t="str">
        <f t="shared" si="6"/>
        <v>October</v>
      </c>
      <c r="H182" s="2" t="str">
        <f t="shared" si="7"/>
        <v>Week 5</v>
      </c>
      <c r="I182" s="2" t="str">
        <f t="shared" si="8"/>
        <v>Quarter 4</v>
      </c>
    </row>
    <row r="183" spans="1:9" x14ac:dyDescent="0.25">
      <c r="A183">
        <v>2800063711</v>
      </c>
      <c r="B183">
        <v>271351</v>
      </c>
      <c r="C183" t="s">
        <v>18</v>
      </c>
      <c r="D183">
        <v>32.799999999999997</v>
      </c>
      <c r="F183" s="3">
        <v>44131</v>
      </c>
      <c r="G183" s="2" t="str">
        <f t="shared" si="6"/>
        <v>October</v>
      </c>
      <c r="H183" s="2" t="str">
        <f t="shared" si="7"/>
        <v>Week 5</v>
      </c>
      <c r="I183" s="2" t="str">
        <f t="shared" si="8"/>
        <v>Quarter 4</v>
      </c>
    </row>
    <row r="184" spans="1:9" x14ac:dyDescent="0.25">
      <c r="A184">
        <v>2800063712</v>
      </c>
      <c r="B184">
        <v>271351</v>
      </c>
      <c r="C184" t="s">
        <v>18</v>
      </c>
      <c r="D184">
        <v>31.9</v>
      </c>
      <c r="F184" s="3">
        <v>44131</v>
      </c>
      <c r="G184" s="2" t="str">
        <f t="shared" si="6"/>
        <v>October</v>
      </c>
      <c r="H184" s="2" t="str">
        <f t="shared" si="7"/>
        <v>Week 5</v>
      </c>
      <c r="I184" s="2" t="str">
        <f t="shared" si="8"/>
        <v>Quarter 4</v>
      </c>
    </row>
    <row r="185" spans="1:9" x14ac:dyDescent="0.25">
      <c r="A185">
        <v>2800063713</v>
      </c>
      <c r="B185">
        <v>271351</v>
      </c>
      <c r="C185" t="s">
        <v>18</v>
      </c>
      <c r="D185">
        <v>31.7</v>
      </c>
      <c r="F185" s="3">
        <v>44131</v>
      </c>
      <c r="G185" s="2" t="str">
        <f t="shared" si="6"/>
        <v>October</v>
      </c>
      <c r="H185" s="2" t="str">
        <f t="shared" si="7"/>
        <v>Week 5</v>
      </c>
      <c r="I185" s="2" t="str">
        <f t="shared" si="8"/>
        <v>Quarter 4</v>
      </c>
    </row>
    <row r="186" spans="1:9" x14ac:dyDescent="0.25">
      <c r="A186">
        <v>2800063714</v>
      </c>
      <c r="B186">
        <v>271351</v>
      </c>
      <c r="C186" t="s">
        <v>18</v>
      </c>
      <c r="D186">
        <v>31.6</v>
      </c>
      <c r="F186" s="3">
        <v>44131</v>
      </c>
      <c r="G186" s="2" t="str">
        <f t="shared" si="6"/>
        <v>October</v>
      </c>
      <c r="H186" s="2" t="str">
        <f t="shared" si="7"/>
        <v>Week 5</v>
      </c>
      <c r="I186" s="2" t="str">
        <f t="shared" si="8"/>
        <v>Quarter 4</v>
      </c>
    </row>
    <row r="187" spans="1:9" x14ac:dyDescent="0.25">
      <c r="A187">
        <v>2800063715</v>
      </c>
      <c r="B187">
        <v>271351</v>
      </c>
      <c r="C187" t="s">
        <v>18</v>
      </c>
      <c r="D187">
        <v>31.15</v>
      </c>
      <c r="F187" s="3">
        <v>44131</v>
      </c>
      <c r="G187" s="2" t="str">
        <f t="shared" si="6"/>
        <v>October</v>
      </c>
      <c r="H187" s="2" t="str">
        <f t="shared" si="7"/>
        <v>Week 5</v>
      </c>
      <c r="I187" s="2" t="str">
        <f t="shared" si="8"/>
        <v>Quarter 4</v>
      </c>
    </row>
    <row r="188" spans="1:9" x14ac:dyDescent="0.25">
      <c r="A188">
        <v>2800063716</v>
      </c>
      <c r="B188">
        <v>271351</v>
      </c>
      <c r="C188" t="s">
        <v>18</v>
      </c>
      <c r="D188">
        <v>31.15</v>
      </c>
      <c r="F188" s="3">
        <v>44131</v>
      </c>
      <c r="G188" s="2" t="str">
        <f t="shared" si="6"/>
        <v>October</v>
      </c>
      <c r="H188" s="2" t="str">
        <f t="shared" si="7"/>
        <v>Week 5</v>
      </c>
      <c r="I188" s="2" t="str">
        <f t="shared" si="8"/>
        <v>Quarter 4</v>
      </c>
    </row>
    <row r="189" spans="1:9" x14ac:dyDescent="0.25">
      <c r="A189">
        <v>2800063717</v>
      </c>
      <c r="B189">
        <v>271351</v>
      </c>
      <c r="C189" t="s">
        <v>18</v>
      </c>
      <c r="D189">
        <v>31.1</v>
      </c>
      <c r="F189" s="3">
        <v>44131</v>
      </c>
      <c r="G189" s="2" t="str">
        <f t="shared" si="6"/>
        <v>October</v>
      </c>
      <c r="H189" s="2" t="str">
        <f t="shared" si="7"/>
        <v>Week 5</v>
      </c>
      <c r="I189" s="2" t="str">
        <f t="shared" si="8"/>
        <v>Quarter 4</v>
      </c>
    </row>
    <row r="190" spans="1:9" x14ac:dyDescent="0.25">
      <c r="A190">
        <v>2800063718</v>
      </c>
      <c r="B190">
        <v>271351</v>
      </c>
      <c r="C190" t="s">
        <v>18</v>
      </c>
      <c r="D190">
        <v>30.7</v>
      </c>
      <c r="F190" s="3">
        <v>44131</v>
      </c>
      <c r="G190" s="2" t="str">
        <f t="shared" si="6"/>
        <v>October</v>
      </c>
      <c r="H190" s="2" t="str">
        <f t="shared" si="7"/>
        <v>Week 5</v>
      </c>
      <c r="I190" s="2" t="str">
        <f t="shared" si="8"/>
        <v>Quarter 4</v>
      </c>
    </row>
    <row r="191" spans="1:9" x14ac:dyDescent="0.25">
      <c r="A191">
        <v>2800063719</v>
      </c>
      <c r="B191">
        <v>271351</v>
      </c>
      <c r="C191" t="s">
        <v>18</v>
      </c>
      <c r="D191">
        <v>30.5</v>
      </c>
      <c r="F191" s="3">
        <v>44131</v>
      </c>
      <c r="G191" s="2" t="str">
        <f t="shared" si="6"/>
        <v>October</v>
      </c>
      <c r="H191" s="2" t="str">
        <f t="shared" si="7"/>
        <v>Week 5</v>
      </c>
      <c r="I191" s="2" t="str">
        <f t="shared" si="8"/>
        <v>Quarter 4</v>
      </c>
    </row>
    <row r="192" spans="1:9" x14ac:dyDescent="0.25">
      <c r="A192">
        <v>2800063720</v>
      </c>
      <c r="B192">
        <v>271351</v>
      </c>
      <c r="C192" t="s">
        <v>18</v>
      </c>
      <c r="D192">
        <v>29.15</v>
      </c>
      <c r="F192" s="3">
        <v>44131</v>
      </c>
      <c r="G192" s="2" t="str">
        <f t="shared" si="6"/>
        <v>October</v>
      </c>
      <c r="H192" s="2" t="str">
        <f t="shared" si="7"/>
        <v>Week 5</v>
      </c>
      <c r="I192" s="2" t="str">
        <f t="shared" si="8"/>
        <v>Quarter 4</v>
      </c>
    </row>
    <row r="193" spans="1:9" x14ac:dyDescent="0.25">
      <c r="A193">
        <v>2800063721</v>
      </c>
      <c r="B193">
        <v>271351</v>
      </c>
      <c r="C193" t="s">
        <v>18</v>
      </c>
      <c r="D193">
        <v>28.9</v>
      </c>
      <c r="F193" s="3">
        <v>44131</v>
      </c>
      <c r="G193" s="2" t="str">
        <f t="shared" si="6"/>
        <v>October</v>
      </c>
      <c r="H193" s="2" t="str">
        <f t="shared" si="7"/>
        <v>Week 5</v>
      </c>
      <c r="I193" s="2" t="str">
        <f t="shared" si="8"/>
        <v>Quarter 4</v>
      </c>
    </row>
    <row r="194" spans="1:9" x14ac:dyDescent="0.25">
      <c r="A194">
        <v>2800063722</v>
      </c>
      <c r="B194">
        <v>271351</v>
      </c>
      <c r="C194" t="s">
        <v>18</v>
      </c>
      <c r="D194">
        <v>28.65</v>
      </c>
      <c r="F194" s="3">
        <v>44131</v>
      </c>
      <c r="G194" s="2" t="str">
        <f t="shared" si="6"/>
        <v>October</v>
      </c>
      <c r="H194" s="2" t="str">
        <f t="shared" si="7"/>
        <v>Week 5</v>
      </c>
      <c r="I194" s="2" t="str">
        <f t="shared" si="8"/>
        <v>Quarter 4</v>
      </c>
    </row>
    <row r="195" spans="1:9" x14ac:dyDescent="0.25">
      <c r="A195">
        <v>2800063723</v>
      </c>
      <c r="B195">
        <v>271351</v>
      </c>
      <c r="C195" t="s">
        <v>18</v>
      </c>
      <c r="D195">
        <v>28.05</v>
      </c>
      <c r="F195" s="3">
        <v>44131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5</v>
      </c>
      <c r="I195" s="2" t="str">
        <f t="shared" ref="I195:I258" si="11">"Quarter " &amp; ROUNDUP((MONTH(F195))/3,0)</f>
        <v>Quarter 4</v>
      </c>
    </row>
    <row r="196" spans="1:9" x14ac:dyDescent="0.25">
      <c r="A196">
        <v>2800063724</v>
      </c>
      <c r="B196">
        <v>271351</v>
      </c>
      <c r="C196" t="s">
        <v>18</v>
      </c>
      <c r="D196">
        <v>27.85</v>
      </c>
      <c r="F196" s="3">
        <v>44131</v>
      </c>
      <c r="G196" s="2" t="str">
        <f t="shared" si="9"/>
        <v>October</v>
      </c>
      <c r="H196" s="2" t="str">
        <f t="shared" si="10"/>
        <v>Week 5</v>
      </c>
      <c r="I196" s="2" t="str">
        <f t="shared" si="11"/>
        <v>Quarter 4</v>
      </c>
    </row>
    <row r="197" spans="1:9" x14ac:dyDescent="0.25">
      <c r="A197">
        <v>2800063725</v>
      </c>
      <c r="B197">
        <v>271351</v>
      </c>
      <c r="C197" t="s">
        <v>18</v>
      </c>
      <c r="D197">
        <v>27.8</v>
      </c>
      <c r="F197" s="3">
        <v>44131</v>
      </c>
      <c r="G197" s="2" t="str">
        <f t="shared" si="9"/>
        <v>October</v>
      </c>
      <c r="H197" s="2" t="str">
        <f t="shared" si="10"/>
        <v>Week 5</v>
      </c>
      <c r="I197" s="2" t="str">
        <f t="shared" si="11"/>
        <v>Quarter 4</v>
      </c>
    </row>
    <row r="198" spans="1:9" x14ac:dyDescent="0.25">
      <c r="A198">
        <v>2800063726</v>
      </c>
      <c r="B198">
        <v>271351</v>
      </c>
      <c r="C198" t="s">
        <v>18</v>
      </c>
      <c r="D198">
        <v>27.8</v>
      </c>
      <c r="F198" s="3">
        <v>44131</v>
      </c>
      <c r="G198" s="2" t="str">
        <f t="shared" si="9"/>
        <v>October</v>
      </c>
      <c r="H198" s="2" t="str">
        <f t="shared" si="10"/>
        <v>Week 5</v>
      </c>
      <c r="I198" s="2" t="str">
        <f t="shared" si="11"/>
        <v>Quarter 4</v>
      </c>
    </row>
    <row r="199" spans="1:9" x14ac:dyDescent="0.25">
      <c r="A199">
        <v>2800063728</v>
      </c>
      <c r="B199">
        <v>271351</v>
      </c>
      <c r="C199" t="s">
        <v>18</v>
      </c>
      <c r="D199">
        <v>27.8</v>
      </c>
      <c r="F199" s="3">
        <v>44131</v>
      </c>
      <c r="G199" s="2" t="str">
        <f t="shared" si="9"/>
        <v>October</v>
      </c>
      <c r="H199" s="2" t="str">
        <f t="shared" si="10"/>
        <v>Week 5</v>
      </c>
      <c r="I199" s="2" t="str">
        <f t="shared" si="11"/>
        <v>Quarter 4</v>
      </c>
    </row>
    <row r="200" spans="1:9" x14ac:dyDescent="0.25">
      <c r="A200">
        <v>2800063729</v>
      </c>
      <c r="B200">
        <v>271351</v>
      </c>
      <c r="C200" t="s">
        <v>18</v>
      </c>
      <c r="D200">
        <v>27.75</v>
      </c>
      <c r="F200" s="3">
        <v>44131</v>
      </c>
      <c r="G200" s="2" t="str">
        <f t="shared" si="9"/>
        <v>October</v>
      </c>
      <c r="H200" s="2" t="str">
        <f t="shared" si="10"/>
        <v>Week 5</v>
      </c>
      <c r="I200" s="2" t="str">
        <f t="shared" si="11"/>
        <v>Quarter 4</v>
      </c>
    </row>
    <row r="201" spans="1:9" x14ac:dyDescent="0.25">
      <c r="A201">
        <v>2800063730</v>
      </c>
      <c r="B201">
        <v>271351</v>
      </c>
      <c r="C201" t="s">
        <v>18</v>
      </c>
      <c r="D201">
        <v>26.5</v>
      </c>
      <c r="F201" s="3">
        <v>44131</v>
      </c>
      <c r="G201" s="2" t="str">
        <f t="shared" si="9"/>
        <v>October</v>
      </c>
      <c r="H201" s="2" t="str">
        <f t="shared" si="10"/>
        <v>Week 5</v>
      </c>
      <c r="I201" s="2" t="str">
        <f t="shared" si="11"/>
        <v>Quarter 4</v>
      </c>
    </row>
    <row r="202" spans="1:9" x14ac:dyDescent="0.25">
      <c r="A202">
        <v>2800063731</v>
      </c>
      <c r="B202">
        <v>271351</v>
      </c>
      <c r="C202" t="s">
        <v>18</v>
      </c>
      <c r="D202">
        <v>25.6</v>
      </c>
      <c r="F202" s="3">
        <v>44131</v>
      </c>
      <c r="G202" s="2" t="str">
        <f t="shared" si="9"/>
        <v>October</v>
      </c>
      <c r="H202" s="2" t="str">
        <f t="shared" si="10"/>
        <v>Week 5</v>
      </c>
      <c r="I202" s="2" t="str">
        <f t="shared" si="11"/>
        <v>Quarter 4</v>
      </c>
    </row>
    <row r="203" spans="1:9" x14ac:dyDescent="0.25">
      <c r="A203">
        <v>2800063732</v>
      </c>
      <c r="B203">
        <v>271351</v>
      </c>
      <c r="C203" t="s">
        <v>18</v>
      </c>
      <c r="D203">
        <v>23.3</v>
      </c>
      <c r="F203" s="3">
        <v>44131</v>
      </c>
      <c r="G203" s="2" t="str">
        <f t="shared" si="9"/>
        <v>October</v>
      </c>
      <c r="H203" s="2" t="str">
        <f t="shared" si="10"/>
        <v>Week 5</v>
      </c>
      <c r="I203" s="2" t="str">
        <f t="shared" si="11"/>
        <v>Quarter 4</v>
      </c>
    </row>
    <row r="204" spans="1:9" x14ac:dyDescent="0.25">
      <c r="A204">
        <v>2800063733</v>
      </c>
      <c r="B204">
        <v>271351</v>
      </c>
      <c r="C204" t="s">
        <v>18</v>
      </c>
      <c r="D204">
        <v>22.55</v>
      </c>
      <c r="F204" s="3">
        <v>44131</v>
      </c>
      <c r="G204" s="2" t="str">
        <f t="shared" si="9"/>
        <v>October</v>
      </c>
      <c r="H204" s="2" t="str">
        <f t="shared" si="10"/>
        <v>Week 5</v>
      </c>
      <c r="I204" s="2" t="str">
        <f t="shared" si="11"/>
        <v>Quarter 4</v>
      </c>
    </row>
    <row r="205" spans="1:9" x14ac:dyDescent="0.25">
      <c r="A205">
        <v>2800063734</v>
      </c>
      <c r="B205">
        <v>271351</v>
      </c>
      <c r="C205" t="s">
        <v>18</v>
      </c>
      <c r="D205">
        <v>22.25</v>
      </c>
      <c r="F205" s="3">
        <v>44131</v>
      </c>
      <c r="G205" s="2" t="str">
        <f t="shared" si="9"/>
        <v>October</v>
      </c>
      <c r="H205" s="2" t="str">
        <f t="shared" si="10"/>
        <v>Week 5</v>
      </c>
      <c r="I205" s="2" t="str">
        <f t="shared" si="11"/>
        <v>Quarter 4</v>
      </c>
    </row>
    <row r="206" spans="1:9" x14ac:dyDescent="0.25">
      <c r="A206">
        <v>2800063782</v>
      </c>
      <c r="B206">
        <v>271351</v>
      </c>
      <c r="C206" t="s">
        <v>15</v>
      </c>
      <c r="D206">
        <v>5423.5</v>
      </c>
      <c r="E206" t="s">
        <v>17</v>
      </c>
      <c r="F206" s="3">
        <v>44131</v>
      </c>
      <c r="G206" s="2" t="str">
        <f t="shared" si="9"/>
        <v>October</v>
      </c>
      <c r="H206" s="2" t="str">
        <f t="shared" si="10"/>
        <v>Week 5</v>
      </c>
      <c r="I206" s="2" t="str">
        <f t="shared" si="11"/>
        <v>Quarter 4</v>
      </c>
    </row>
    <row r="207" spans="1:9" x14ac:dyDescent="0.25">
      <c r="A207">
        <v>2800063802</v>
      </c>
      <c r="B207">
        <v>271351</v>
      </c>
      <c r="C207" t="s">
        <v>18</v>
      </c>
      <c r="D207">
        <v>22.25</v>
      </c>
      <c r="F207" s="3">
        <v>44131</v>
      </c>
      <c r="G207" s="2" t="str">
        <f t="shared" si="9"/>
        <v>October</v>
      </c>
      <c r="H207" s="2" t="str">
        <f t="shared" si="10"/>
        <v>Week 5</v>
      </c>
      <c r="I207" s="2" t="str">
        <f t="shared" si="11"/>
        <v>Quarter 4</v>
      </c>
    </row>
    <row r="208" spans="1:9" x14ac:dyDescent="0.25">
      <c r="A208">
        <v>2800063803</v>
      </c>
      <c r="B208">
        <v>271351</v>
      </c>
      <c r="C208" t="s">
        <v>18</v>
      </c>
      <c r="D208">
        <v>21.2</v>
      </c>
      <c r="F208" s="3">
        <v>44131</v>
      </c>
      <c r="G208" s="2" t="str">
        <f t="shared" si="9"/>
        <v>October</v>
      </c>
      <c r="H208" s="2" t="str">
        <f t="shared" si="10"/>
        <v>Week 5</v>
      </c>
      <c r="I208" s="2" t="str">
        <f t="shared" si="11"/>
        <v>Quarter 4</v>
      </c>
    </row>
    <row r="209" spans="1:9" x14ac:dyDescent="0.25">
      <c r="A209">
        <v>2800063804</v>
      </c>
      <c r="B209">
        <v>271351</v>
      </c>
      <c r="C209" t="s">
        <v>18</v>
      </c>
      <c r="D209">
        <v>20.8</v>
      </c>
      <c r="F209" s="3">
        <v>44131</v>
      </c>
      <c r="G209" s="2" t="str">
        <f t="shared" si="9"/>
        <v>October</v>
      </c>
      <c r="H209" s="2" t="str">
        <f t="shared" si="10"/>
        <v>Week 5</v>
      </c>
      <c r="I209" s="2" t="str">
        <f t="shared" si="11"/>
        <v>Quarter 4</v>
      </c>
    </row>
    <row r="210" spans="1:9" x14ac:dyDescent="0.25">
      <c r="A210">
        <v>2800063805</v>
      </c>
      <c r="B210">
        <v>271351</v>
      </c>
      <c r="C210" t="s">
        <v>18</v>
      </c>
      <c r="D210">
        <v>20.8</v>
      </c>
      <c r="F210" s="3">
        <v>44131</v>
      </c>
      <c r="G210" s="2" t="str">
        <f t="shared" si="9"/>
        <v>October</v>
      </c>
      <c r="H210" s="2" t="str">
        <f t="shared" si="10"/>
        <v>Week 5</v>
      </c>
      <c r="I210" s="2" t="str">
        <f t="shared" si="11"/>
        <v>Quarter 4</v>
      </c>
    </row>
    <row r="211" spans="1:9" x14ac:dyDescent="0.25">
      <c r="A211">
        <v>2800063806</v>
      </c>
      <c r="B211">
        <v>271351</v>
      </c>
      <c r="C211" t="s">
        <v>18</v>
      </c>
      <c r="D211">
        <v>20.5</v>
      </c>
      <c r="F211" s="3">
        <v>44131</v>
      </c>
      <c r="G211" s="2" t="str">
        <f t="shared" si="9"/>
        <v>October</v>
      </c>
      <c r="H211" s="2" t="str">
        <f t="shared" si="10"/>
        <v>Week 5</v>
      </c>
      <c r="I211" s="2" t="str">
        <f t="shared" si="11"/>
        <v>Quarter 4</v>
      </c>
    </row>
    <row r="212" spans="1:9" x14ac:dyDescent="0.25">
      <c r="A212">
        <v>2800063807</v>
      </c>
      <c r="B212">
        <v>271351</v>
      </c>
      <c r="C212" t="s">
        <v>18</v>
      </c>
      <c r="D212">
        <v>18.75</v>
      </c>
      <c r="F212" s="3">
        <v>44131</v>
      </c>
      <c r="G212" s="2" t="str">
        <f t="shared" si="9"/>
        <v>October</v>
      </c>
      <c r="H212" s="2" t="str">
        <f t="shared" si="10"/>
        <v>Week 5</v>
      </c>
      <c r="I212" s="2" t="str">
        <f t="shared" si="11"/>
        <v>Quarter 4</v>
      </c>
    </row>
    <row r="213" spans="1:9" x14ac:dyDescent="0.25">
      <c r="A213">
        <v>2800063808</v>
      </c>
      <c r="B213">
        <v>271351</v>
      </c>
      <c r="C213" t="s">
        <v>18</v>
      </c>
      <c r="D213">
        <v>16.350000000000001</v>
      </c>
      <c r="F213" s="3">
        <v>44131</v>
      </c>
      <c r="G213" s="2" t="str">
        <f t="shared" si="9"/>
        <v>October</v>
      </c>
      <c r="H213" s="2" t="str">
        <f t="shared" si="10"/>
        <v>Week 5</v>
      </c>
      <c r="I213" s="2" t="str">
        <f t="shared" si="11"/>
        <v>Quarter 4</v>
      </c>
    </row>
    <row r="214" spans="1:9" x14ac:dyDescent="0.25">
      <c r="A214">
        <v>2800063809</v>
      </c>
      <c r="B214">
        <v>271351</v>
      </c>
      <c r="C214" t="s">
        <v>18</v>
      </c>
      <c r="D214">
        <v>15.6</v>
      </c>
      <c r="F214" s="3">
        <v>44131</v>
      </c>
      <c r="G214" s="2" t="str">
        <f t="shared" si="9"/>
        <v>October</v>
      </c>
      <c r="H214" s="2" t="str">
        <f t="shared" si="10"/>
        <v>Week 5</v>
      </c>
      <c r="I214" s="2" t="str">
        <f t="shared" si="11"/>
        <v>Quarter 4</v>
      </c>
    </row>
    <row r="215" spans="1:9" x14ac:dyDescent="0.25">
      <c r="A215">
        <v>2800063810</v>
      </c>
      <c r="B215">
        <v>271351</v>
      </c>
      <c r="C215" t="s">
        <v>18</v>
      </c>
      <c r="D215">
        <v>15.6</v>
      </c>
      <c r="F215" s="3">
        <v>44131</v>
      </c>
      <c r="G215" s="2" t="str">
        <f t="shared" si="9"/>
        <v>October</v>
      </c>
      <c r="H215" s="2" t="str">
        <f t="shared" si="10"/>
        <v>Week 5</v>
      </c>
      <c r="I215" s="2" t="str">
        <f t="shared" si="11"/>
        <v>Quarter 4</v>
      </c>
    </row>
    <row r="216" spans="1:9" x14ac:dyDescent="0.25">
      <c r="A216">
        <v>2800063811</v>
      </c>
      <c r="B216">
        <v>271351</v>
      </c>
      <c r="C216" t="s">
        <v>18</v>
      </c>
      <c r="D216">
        <v>15.35</v>
      </c>
      <c r="F216" s="3">
        <v>44131</v>
      </c>
      <c r="G216" s="2" t="str">
        <f t="shared" si="9"/>
        <v>October</v>
      </c>
      <c r="H216" s="2" t="str">
        <f t="shared" si="10"/>
        <v>Week 5</v>
      </c>
      <c r="I216" s="2" t="str">
        <f t="shared" si="11"/>
        <v>Quarter 4</v>
      </c>
    </row>
    <row r="217" spans="1:9" x14ac:dyDescent="0.25">
      <c r="A217">
        <v>2800063812</v>
      </c>
      <c r="B217">
        <v>271351</v>
      </c>
      <c r="C217" t="s">
        <v>18</v>
      </c>
      <c r="D217">
        <v>15.35</v>
      </c>
      <c r="F217" s="3">
        <v>44131</v>
      </c>
      <c r="G217" s="2" t="str">
        <f t="shared" si="9"/>
        <v>October</v>
      </c>
      <c r="H217" s="2" t="str">
        <f t="shared" si="10"/>
        <v>Week 5</v>
      </c>
      <c r="I217" s="2" t="str">
        <f t="shared" si="11"/>
        <v>Quarter 4</v>
      </c>
    </row>
    <row r="218" spans="1:9" x14ac:dyDescent="0.25">
      <c r="A218">
        <v>2800063813</v>
      </c>
      <c r="B218">
        <v>271351</v>
      </c>
      <c r="C218" t="s">
        <v>18</v>
      </c>
      <c r="D218">
        <v>15.35</v>
      </c>
      <c r="F218" s="3">
        <v>44131</v>
      </c>
      <c r="G218" s="2" t="str">
        <f t="shared" si="9"/>
        <v>October</v>
      </c>
      <c r="H218" s="2" t="str">
        <f t="shared" si="10"/>
        <v>Week 5</v>
      </c>
      <c r="I218" s="2" t="str">
        <f t="shared" si="11"/>
        <v>Quarter 4</v>
      </c>
    </row>
    <row r="219" spans="1:9" x14ac:dyDescent="0.25">
      <c r="A219">
        <v>2800063814</v>
      </c>
      <c r="B219">
        <v>271351</v>
      </c>
      <c r="C219" t="s">
        <v>18</v>
      </c>
      <c r="D219">
        <v>13.9</v>
      </c>
      <c r="F219" s="3">
        <v>44131</v>
      </c>
      <c r="G219" s="2" t="str">
        <f t="shared" si="9"/>
        <v>October</v>
      </c>
      <c r="H219" s="2" t="str">
        <f t="shared" si="10"/>
        <v>Week 5</v>
      </c>
      <c r="I219" s="2" t="str">
        <f t="shared" si="11"/>
        <v>Quarter 4</v>
      </c>
    </row>
    <row r="220" spans="1:9" x14ac:dyDescent="0.25">
      <c r="A220">
        <v>2800063815</v>
      </c>
      <c r="B220">
        <v>271351</v>
      </c>
      <c r="C220" t="s">
        <v>18</v>
      </c>
      <c r="D220">
        <v>13.85</v>
      </c>
      <c r="F220" s="3">
        <v>44131</v>
      </c>
      <c r="G220" s="2" t="str">
        <f t="shared" si="9"/>
        <v>October</v>
      </c>
      <c r="H220" s="2" t="str">
        <f t="shared" si="10"/>
        <v>Week 5</v>
      </c>
      <c r="I220" s="2" t="str">
        <f t="shared" si="11"/>
        <v>Quarter 4</v>
      </c>
    </row>
    <row r="221" spans="1:9" x14ac:dyDescent="0.25">
      <c r="A221">
        <v>2800063817</v>
      </c>
      <c r="B221">
        <v>271351</v>
      </c>
      <c r="C221" t="s">
        <v>18</v>
      </c>
      <c r="D221">
        <v>13.1</v>
      </c>
      <c r="F221" s="3">
        <v>44131</v>
      </c>
      <c r="G221" s="2" t="str">
        <f t="shared" si="9"/>
        <v>October</v>
      </c>
      <c r="H221" s="2" t="str">
        <f t="shared" si="10"/>
        <v>Week 5</v>
      </c>
      <c r="I221" s="2" t="str">
        <f t="shared" si="11"/>
        <v>Quarter 4</v>
      </c>
    </row>
    <row r="222" spans="1:9" x14ac:dyDescent="0.25">
      <c r="A222">
        <v>2800063818</v>
      </c>
      <c r="B222">
        <v>271351</v>
      </c>
      <c r="C222" t="s">
        <v>18</v>
      </c>
      <c r="D222">
        <v>11.15</v>
      </c>
      <c r="F222" s="3">
        <v>44131</v>
      </c>
      <c r="G222" s="2" t="str">
        <f t="shared" si="9"/>
        <v>October</v>
      </c>
      <c r="H222" s="2" t="str">
        <f t="shared" si="10"/>
        <v>Week 5</v>
      </c>
      <c r="I222" s="2" t="str">
        <f t="shared" si="11"/>
        <v>Quarter 4</v>
      </c>
    </row>
    <row r="223" spans="1:9" x14ac:dyDescent="0.25">
      <c r="A223">
        <v>2800063819</v>
      </c>
      <c r="B223">
        <v>271351</v>
      </c>
      <c r="C223" t="s">
        <v>18</v>
      </c>
      <c r="D223">
        <v>11.15</v>
      </c>
      <c r="F223" s="3">
        <v>44131</v>
      </c>
      <c r="G223" s="2" t="str">
        <f t="shared" si="9"/>
        <v>October</v>
      </c>
      <c r="H223" s="2" t="str">
        <f t="shared" si="10"/>
        <v>Week 5</v>
      </c>
      <c r="I223" s="2" t="str">
        <f t="shared" si="11"/>
        <v>Quarter 4</v>
      </c>
    </row>
    <row r="224" spans="1:9" x14ac:dyDescent="0.25">
      <c r="A224">
        <v>2800063820</v>
      </c>
      <c r="B224">
        <v>271351</v>
      </c>
      <c r="C224" t="s">
        <v>18</v>
      </c>
      <c r="D224">
        <v>11.15</v>
      </c>
      <c r="F224" s="3">
        <v>44131</v>
      </c>
      <c r="G224" s="2" t="str">
        <f t="shared" si="9"/>
        <v>October</v>
      </c>
      <c r="H224" s="2" t="str">
        <f t="shared" si="10"/>
        <v>Week 5</v>
      </c>
      <c r="I224" s="2" t="str">
        <f t="shared" si="11"/>
        <v>Quarter 4</v>
      </c>
    </row>
    <row r="225" spans="1:9" x14ac:dyDescent="0.25">
      <c r="A225">
        <v>2800063821</v>
      </c>
      <c r="B225">
        <v>271351</v>
      </c>
      <c r="C225" t="s">
        <v>18</v>
      </c>
      <c r="D225">
        <v>10.25</v>
      </c>
      <c r="F225" s="3">
        <v>44131</v>
      </c>
      <c r="G225" s="2" t="str">
        <f t="shared" si="9"/>
        <v>October</v>
      </c>
      <c r="H225" s="2" t="str">
        <f t="shared" si="10"/>
        <v>Week 5</v>
      </c>
      <c r="I225" s="2" t="str">
        <f t="shared" si="11"/>
        <v>Quarter 4</v>
      </c>
    </row>
    <row r="226" spans="1:9" x14ac:dyDescent="0.25">
      <c r="A226">
        <v>2800063822</v>
      </c>
      <c r="B226">
        <v>271351</v>
      </c>
      <c r="C226" t="s">
        <v>18</v>
      </c>
      <c r="D226">
        <v>10.25</v>
      </c>
      <c r="F226" s="3">
        <v>44131</v>
      </c>
      <c r="G226" s="2" t="str">
        <f t="shared" si="9"/>
        <v>October</v>
      </c>
      <c r="H226" s="2" t="str">
        <f t="shared" si="10"/>
        <v>Week 5</v>
      </c>
      <c r="I226" s="2" t="str">
        <f t="shared" si="11"/>
        <v>Quarter 4</v>
      </c>
    </row>
    <row r="227" spans="1:9" x14ac:dyDescent="0.25">
      <c r="A227">
        <v>2800063823</v>
      </c>
      <c r="B227">
        <v>271351</v>
      </c>
      <c r="C227" t="s">
        <v>18</v>
      </c>
      <c r="D227">
        <v>10.25</v>
      </c>
      <c r="F227" s="3">
        <v>44131</v>
      </c>
      <c r="G227" s="2" t="str">
        <f t="shared" si="9"/>
        <v>October</v>
      </c>
      <c r="H227" s="2" t="str">
        <f t="shared" si="10"/>
        <v>Week 5</v>
      </c>
      <c r="I227" s="2" t="str">
        <f t="shared" si="11"/>
        <v>Quarter 4</v>
      </c>
    </row>
    <row r="228" spans="1:9" x14ac:dyDescent="0.25">
      <c r="A228">
        <v>2800063824</v>
      </c>
      <c r="B228">
        <v>271351</v>
      </c>
      <c r="C228" t="s">
        <v>18</v>
      </c>
      <c r="D228">
        <v>10.25</v>
      </c>
      <c r="F228" s="3">
        <v>44131</v>
      </c>
      <c r="G228" s="2" t="str">
        <f t="shared" si="9"/>
        <v>October</v>
      </c>
      <c r="H228" s="2" t="str">
        <f t="shared" si="10"/>
        <v>Week 5</v>
      </c>
      <c r="I228" s="2" t="str">
        <f t="shared" si="11"/>
        <v>Quarter 4</v>
      </c>
    </row>
    <row r="229" spans="1:9" x14ac:dyDescent="0.25">
      <c r="A229">
        <v>2800063825</v>
      </c>
      <c r="B229">
        <v>271351</v>
      </c>
      <c r="C229" t="s">
        <v>18</v>
      </c>
      <c r="D229">
        <v>9.65</v>
      </c>
      <c r="F229" s="3">
        <v>44131</v>
      </c>
      <c r="G229" s="2" t="str">
        <f t="shared" si="9"/>
        <v>October</v>
      </c>
      <c r="H229" s="2" t="str">
        <f t="shared" si="10"/>
        <v>Week 5</v>
      </c>
      <c r="I229" s="2" t="str">
        <f t="shared" si="11"/>
        <v>Quarter 4</v>
      </c>
    </row>
    <row r="230" spans="1:9" x14ac:dyDescent="0.25">
      <c r="A230">
        <v>2800063827</v>
      </c>
      <c r="B230">
        <v>271351</v>
      </c>
      <c r="C230" t="s">
        <v>18</v>
      </c>
      <c r="D230">
        <v>9</v>
      </c>
      <c r="F230" s="3">
        <v>44131</v>
      </c>
      <c r="G230" s="2" t="str">
        <f t="shared" si="9"/>
        <v>October</v>
      </c>
      <c r="H230" s="2" t="str">
        <f t="shared" si="10"/>
        <v>Week 5</v>
      </c>
      <c r="I230" s="2" t="str">
        <f t="shared" si="11"/>
        <v>Quarter 4</v>
      </c>
    </row>
    <row r="231" spans="1:9" x14ac:dyDescent="0.25">
      <c r="A231">
        <v>2800063828</v>
      </c>
      <c r="B231">
        <v>271351</v>
      </c>
      <c r="C231" t="s">
        <v>18</v>
      </c>
      <c r="D231">
        <v>8.8000000000000007</v>
      </c>
      <c r="F231" s="3">
        <v>44131</v>
      </c>
      <c r="G231" s="2" t="str">
        <f t="shared" si="9"/>
        <v>October</v>
      </c>
      <c r="H231" s="2" t="str">
        <f t="shared" si="10"/>
        <v>Week 5</v>
      </c>
      <c r="I231" s="2" t="str">
        <f t="shared" si="11"/>
        <v>Quarter 4</v>
      </c>
    </row>
    <row r="232" spans="1:9" x14ac:dyDescent="0.25">
      <c r="A232">
        <v>2800063829</v>
      </c>
      <c r="B232">
        <v>271351</v>
      </c>
      <c r="C232" t="s">
        <v>18</v>
      </c>
      <c r="D232">
        <v>8.6999999999999993</v>
      </c>
      <c r="F232" s="3">
        <v>44131</v>
      </c>
      <c r="G232" s="2" t="str">
        <f t="shared" si="9"/>
        <v>October</v>
      </c>
      <c r="H232" s="2" t="str">
        <f t="shared" si="10"/>
        <v>Week 5</v>
      </c>
      <c r="I232" s="2" t="str">
        <f t="shared" si="11"/>
        <v>Quarter 4</v>
      </c>
    </row>
    <row r="233" spans="1:9" x14ac:dyDescent="0.25">
      <c r="A233">
        <v>2800063830</v>
      </c>
      <c r="B233">
        <v>271351</v>
      </c>
      <c r="C233" t="s">
        <v>18</v>
      </c>
      <c r="D233">
        <v>8.6999999999999993</v>
      </c>
      <c r="F233" s="3">
        <v>44131</v>
      </c>
      <c r="G233" s="2" t="str">
        <f t="shared" si="9"/>
        <v>October</v>
      </c>
      <c r="H233" s="2" t="str">
        <f t="shared" si="10"/>
        <v>Week 5</v>
      </c>
      <c r="I233" s="2" t="str">
        <f t="shared" si="11"/>
        <v>Quarter 4</v>
      </c>
    </row>
    <row r="234" spans="1:9" x14ac:dyDescent="0.25">
      <c r="A234">
        <v>2800063831</v>
      </c>
      <c r="B234">
        <v>271351</v>
      </c>
      <c r="C234" t="s">
        <v>18</v>
      </c>
      <c r="D234">
        <v>8.6999999999999993</v>
      </c>
      <c r="F234" s="3">
        <v>44131</v>
      </c>
      <c r="G234" s="2" t="str">
        <f t="shared" si="9"/>
        <v>October</v>
      </c>
      <c r="H234" s="2" t="str">
        <f t="shared" si="10"/>
        <v>Week 5</v>
      </c>
      <c r="I234" s="2" t="str">
        <f t="shared" si="11"/>
        <v>Quarter 4</v>
      </c>
    </row>
    <row r="235" spans="1:9" x14ac:dyDescent="0.25">
      <c r="A235">
        <v>2800063832</v>
      </c>
      <c r="B235">
        <v>271351</v>
      </c>
      <c r="C235" t="s">
        <v>18</v>
      </c>
      <c r="D235">
        <v>6.1</v>
      </c>
      <c r="F235" s="3">
        <v>44131</v>
      </c>
      <c r="G235" s="2" t="str">
        <f t="shared" si="9"/>
        <v>October</v>
      </c>
      <c r="H235" s="2" t="str">
        <f t="shared" si="10"/>
        <v>Week 5</v>
      </c>
      <c r="I235" s="2" t="str">
        <f t="shared" si="11"/>
        <v>Quarter 4</v>
      </c>
    </row>
    <row r="236" spans="1:9" x14ac:dyDescent="0.25">
      <c r="A236">
        <v>2800063833</v>
      </c>
      <c r="B236">
        <v>271351</v>
      </c>
      <c r="C236" t="s">
        <v>18</v>
      </c>
      <c r="D236">
        <v>5.55</v>
      </c>
      <c r="F236" s="3">
        <v>44131</v>
      </c>
      <c r="G236" s="2" t="str">
        <f t="shared" si="9"/>
        <v>October</v>
      </c>
      <c r="H236" s="2" t="str">
        <f t="shared" si="10"/>
        <v>Week 5</v>
      </c>
      <c r="I236" s="2" t="str">
        <f t="shared" si="11"/>
        <v>Quarter 4</v>
      </c>
    </row>
    <row r="237" spans="1:9" x14ac:dyDescent="0.25">
      <c r="A237">
        <v>2800063834</v>
      </c>
      <c r="B237">
        <v>271351</v>
      </c>
      <c r="C237" t="s">
        <v>18</v>
      </c>
      <c r="D237">
        <v>5.55</v>
      </c>
      <c r="F237" s="3">
        <v>44131</v>
      </c>
      <c r="G237" s="2" t="str">
        <f t="shared" si="9"/>
        <v>October</v>
      </c>
      <c r="H237" s="2" t="str">
        <f t="shared" si="10"/>
        <v>Week 5</v>
      </c>
      <c r="I237" s="2" t="str">
        <f t="shared" si="11"/>
        <v>Quarter 4</v>
      </c>
    </row>
    <row r="238" spans="1:9" x14ac:dyDescent="0.25">
      <c r="A238">
        <v>2800063835</v>
      </c>
      <c r="B238">
        <v>271351</v>
      </c>
      <c r="C238" t="s">
        <v>18</v>
      </c>
      <c r="D238">
        <v>5.2</v>
      </c>
      <c r="F238" s="3">
        <v>44131</v>
      </c>
      <c r="G238" s="2" t="str">
        <f t="shared" si="9"/>
        <v>October</v>
      </c>
      <c r="H238" s="2" t="str">
        <f t="shared" si="10"/>
        <v>Week 5</v>
      </c>
      <c r="I238" s="2" t="str">
        <f t="shared" si="11"/>
        <v>Quarter 4</v>
      </c>
    </row>
    <row r="239" spans="1:9" x14ac:dyDescent="0.25">
      <c r="A239">
        <v>2800063836</v>
      </c>
      <c r="B239">
        <v>271351</v>
      </c>
      <c r="C239" t="s">
        <v>18</v>
      </c>
      <c r="D239">
        <v>5.2</v>
      </c>
      <c r="F239" s="3">
        <v>44131</v>
      </c>
      <c r="G239" s="2" t="str">
        <f t="shared" si="9"/>
        <v>October</v>
      </c>
      <c r="H239" s="2" t="str">
        <f t="shared" si="10"/>
        <v>Week 5</v>
      </c>
      <c r="I239" s="2" t="str">
        <f t="shared" si="11"/>
        <v>Quarter 4</v>
      </c>
    </row>
    <row r="240" spans="1:9" x14ac:dyDescent="0.25">
      <c r="A240">
        <v>2800063837</v>
      </c>
      <c r="B240">
        <v>271351</v>
      </c>
      <c r="C240" t="s">
        <v>18</v>
      </c>
      <c r="D240">
        <v>5.2</v>
      </c>
      <c r="F240" s="3">
        <v>44131</v>
      </c>
      <c r="G240" s="2" t="str">
        <f t="shared" si="9"/>
        <v>October</v>
      </c>
      <c r="H240" s="2" t="str">
        <f t="shared" si="10"/>
        <v>Week 5</v>
      </c>
      <c r="I240" s="2" t="str">
        <f t="shared" si="11"/>
        <v>Quarter 4</v>
      </c>
    </row>
    <row r="241" spans="1:9" x14ac:dyDescent="0.25">
      <c r="A241">
        <v>2800063838</v>
      </c>
      <c r="B241">
        <v>271351</v>
      </c>
      <c r="C241" t="s">
        <v>18</v>
      </c>
      <c r="D241">
        <v>5.0999999999999996</v>
      </c>
      <c r="F241" s="3">
        <v>44131</v>
      </c>
      <c r="G241" s="2" t="str">
        <f t="shared" si="9"/>
        <v>October</v>
      </c>
      <c r="H241" s="2" t="str">
        <f t="shared" si="10"/>
        <v>Week 5</v>
      </c>
      <c r="I241" s="2" t="str">
        <f t="shared" si="11"/>
        <v>Quarter 4</v>
      </c>
    </row>
    <row r="242" spans="1:9" x14ac:dyDescent="0.25">
      <c r="A242">
        <v>2800063839</v>
      </c>
      <c r="B242">
        <v>271351</v>
      </c>
      <c r="C242" t="s">
        <v>18</v>
      </c>
      <c r="D242">
        <v>5.0999999999999996</v>
      </c>
      <c r="F242" s="3">
        <v>44131</v>
      </c>
      <c r="G242" s="2" t="str">
        <f t="shared" si="9"/>
        <v>October</v>
      </c>
      <c r="H242" s="2" t="str">
        <f t="shared" si="10"/>
        <v>Week 5</v>
      </c>
      <c r="I242" s="2" t="str">
        <f t="shared" si="11"/>
        <v>Quarter 4</v>
      </c>
    </row>
    <row r="243" spans="1:9" x14ac:dyDescent="0.25">
      <c r="A243">
        <v>2800063841</v>
      </c>
      <c r="B243">
        <v>271351</v>
      </c>
      <c r="C243" t="s">
        <v>15</v>
      </c>
      <c r="D243">
        <v>42.15</v>
      </c>
      <c r="E243" t="s">
        <v>19</v>
      </c>
      <c r="F243" s="3">
        <v>44131</v>
      </c>
      <c r="G243" s="2" t="str">
        <f t="shared" si="9"/>
        <v>October</v>
      </c>
      <c r="H243" s="2" t="str">
        <f t="shared" si="10"/>
        <v>Week 5</v>
      </c>
      <c r="I243" s="2" t="str">
        <f t="shared" si="11"/>
        <v>Quarter 4</v>
      </c>
    </row>
    <row r="244" spans="1:9" x14ac:dyDescent="0.25">
      <c r="A244">
        <v>2800063842</v>
      </c>
      <c r="B244">
        <v>271351</v>
      </c>
      <c r="C244" t="s">
        <v>15</v>
      </c>
      <c r="D244">
        <v>28.95</v>
      </c>
      <c r="E244" t="s">
        <v>19</v>
      </c>
      <c r="F244" s="3">
        <v>44131</v>
      </c>
      <c r="G244" s="2" t="str">
        <f t="shared" si="9"/>
        <v>October</v>
      </c>
      <c r="H244" s="2" t="str">
        <f t="shared" si="10"/>
        <v>Week 5</v>
      </c>
      <c r="I244" s="2" t="str">
        <f t="shared" si="11"/>
        <v>Quarter 4</v>
      </c>
    </row>
    <row r="245" spans="1:9" x14ac:dyDescent="0.25">
      <c r="A245">
        <v>2800063482</v>
      </c>
      <c r="B245">
        <v>273114</v>
      </c>
      <c r="C245" t="s">
        <v>13</v>
      </c>
      <c r="D245">
        <v>209.9</v>
      </c>
      <c r="E245" t="s">
        <v>14</v>
      </c>
      <c r="F245" s="3">
        <v>44131</v>
      </c>
      <c r="G245" s="2" t="str">
        <f t="shared" si="9"/>
        <v>October</v>
      </c>
      <c r="H245" s="2" t="str">
        <f t="shared" si="10"/>
        <v>Week 5</v>
      </c>
      <c r="I245" s="2" t="str">
        <f t="shared" si="11"/>
        <v>Quarter 4</v>
      </c>
    </row>
    <row r="246" spans="1:9" x14ac:dyDescent="0.25">
      <c r="A246">
        <v>2800063483</v>
      </c>
      <c r="B246">
        <v>273114</v>
      </c>
      <c r="C246" t="s">
        <v>13</v>
      </c>
      <c r="D246">
        <v>14.24</v>
      </c>
      <c r="E246" t="s">
        <v>14</v>
      </c>
      <c r="F246" s="3">
        <v>44131</v>
      </c>
      <c r="G246" s="2" t="str">
        <f t="shared" si="9"/>
        <v>October</v>
      </c>
      <c r="H246" s="2" t="str">
        <f t="shared" si="10"/>
        <v>Week 5</v>
      </c>
      <c r="I246" s="2" t="str">
        <f t="shared" si="11"/>
        <v>Quarter 4</v>
      </c>
    </row>
    <row r="247" spans="1:9" x14ac:dyDescent="0.25">
      <c r="A247">
        <v>2800063484</v>
      </c>
      <c r="B247">
        <v>273114</v>
      </c>
      <c r="C247" t="s">
        <v>13</v>
      </c>
      <c r="D247">
        <v>404.75</v>
      </c>
      <c r="E247" t="s">
        <v>14</v>
      </c>
      <c r="F247" s="3">
        <v>44131</v>
      </c>
      <c r="G247" s="2" t="str">
        <f t="shared" si="9"/>
        <v>October</v>
      </c>
      <c r="H247" s="2" t="str">
        <f t="shared" si="10"/>
        <v>Week 5</v>
      </c>
      <c r="I247" s="2" t="str">
        <f t="shared" si="11"/>
        <v>Quarter 4</v>
      </c>
    </row>
    <row r="248" spans="1:9" x14ac:dyDescent="0.25">
      <c r="A248">
        <v>2800063485</v>
      </c>
      <c r="B248">
        <v>273114</v>
      </c>
      <c r="C248" t="s">
        <v>13</v>
      </c>
      <c r="D248">
        <v>61.5</v>
      </c>
      <c r="E248" t="s">
        <v>14</v>
      </c>
      <c r="F248" s="3">
        <v>44131</v>
      </c>
      <c r="G248" s="2" t="str">
        <f t="shared" si="9"/>
        <v>October</v>
      </c>
      <c r="H248" s="2" t="str">
        <f t="shared" si="10"/>
        <v>Week 5</v>
      </c>
      <c r="I248" s="2" t="str">
        <f t="shared" si="11"/>
        <v>Quarter 4</v>
      </c>
    </row>
    <row r="249" spans="1:9" x14ac:dyDescent="0.25">
      <c r="A249">
        <v>2800063486</v>
      </c>
      <c r="B249">
        <v>273114</v>
      </c>
      <c r="C249" t="s">
        <v>13</v>
      </c>
      <c r="D249">
        <v>126.9</v>
      </c>
      <c r="E249" t="s">
        <v>14</v>
      </c>
      <c r="F249" s="3">
        <v>44131</v>
      </c>
      <c r="G249" s="2" t="str">
        <f t="shared" si="9"/>
        <v>October</v>
      </c>
      <c r="H249" s="2" t="str">
        <f t="shared" si="10"/>
        <v>Week 5</v>
      </c>
      <c r="I249" s="2" t="str">
        <f t="shared" si="11"/>
        <v>Quarter 4</v>
      </c>
    </row>
    <row r="250" spans="1:9" x14ac:dyDescent="0.25">
      <c r="A250">
        <v>2800063487</v>
      </c>
      <c r="B250">
        <v>273114</v>
      </c>
      <c r="C250" t="s">
        <v>20</v>
      </c>
      <c r="D250">
        <v>2369.25</v>
      </c>
      <c r="F250" s="3">
        <v>44131</v>
      </c>
      <c r="G250" s="2" t="str">
        <f t="shared" si="9"/>
        <v>October</v>
      </c>
      <c r="H250" s="2" t="str">
        <f t="shared" si="10"/>
        <v>Week 5</v>
      </c>
      <c r="I250" s="2" t="str">
        <f t="shared" si="11"/>
        <v>Quarter 4</v>
      </c>
    </row>
    <row r="251" spans="1:9" x14ac:dyDescent="0.25">
      <c r="A251">
        <v>2800063488</v>
      </c>
      <c r="B251">
        <v>273114</v>
      </c>
      <c r="C251" t="s">
        <v>13</v>
      </c>
      <c r="D251">
        <v>7.7</v>
      </c>
      <c r="E251" t="s">
        <v>14</v>
      </c>
      <c r="F251" s="3">
        <v>44131</v>
      </c>
      <c r="G251" s="2" t="str">
        <f t="shared" si="9"/>
        <v>October</v>
      </c>
      <c r="H251" s="2" t="str">
        <f t="shared" si="10"/>
        <v>Week 5</v>
      </c>
      <c r="I251" s="2" t="str">
        <f t="shared" si="11"/>
        <v>Quarter 4</v>
      </c>
    </row>
    <row r="252" spans="1:9" x14ac:dyDescent="0.25">
      <c r="A252">
        <v>2800063489</v>
      </c>
      <c r="B252">
        <v>273114</v>
      </c>
      <c r="C252" t="s">
        <v>13</v>
      </c>
      <c r="D252">
        <v>15.92</v>
      </c>
      <c r="E252" t="s">
        <v>14</v>
      </c>
      <c r="F252" s="3">
        <v>44131</v>
      </c>
      <c r="G252" s="2" t="str">
        <f t="shared" si="9"/>
        <v>October</v>
      </c>
      <c r="H252" s="2" t="str">
        <f t="shared" si="10"/>
        <v>Week 5</v>
      </c>
      <c r="I252" s="2" t="str">
        <f t="shared" si="11"/>
        <v>Quarter 4</v>
      </c>
    </row>
    <row r="253" spans="1:9" x14ac:dyDescent="0.25">
      <c r="A253">
        <v>2800063490</v>
      </c>
      <c r="B253">
        <v>273114</v>
      </c>
      <c r="C253" t="s">
        <v>13</v>
      </c>
      <c r="D253">
        <v>41.6</v>
      </c>
      <c r="E253" t="s">
        <v>14</v>
      </c>
      <c r="F253" s="3">
        <v>44131</v>
      </c>
      <c r="G253" s="2" t="str">
        <f t="shared" si="9"/>
        <v>October</v>
      </c>
      <c r="H253" s="2" t="str">
        <f t="shared" si="10"/>
        <v>Week 5</v>
      </c>
      <c r="I253" s="2" t="str">
        <f t="shared" si="11"/>
        <v>Quarter 4</v>
      </c>
    </row>
    <row r="254" spans="1:9" x14ac:dyDescent="0.25">
      <c r="A254">
        <v>2800063491</v>
      </c>
      <c r="B254">
        <v>273114</v>
      </c>
      <c r="C254" t="s">
        <v>13</v>
      </c>
      <c r="D254">
        <v>61.4</v>
      </c>
      <c r="E254" t="s">
        <v>14</v>
      </c>
      <c r="F254" s="3">
        <v>44131</v>
      </c>
      <c r="G254" s="2" t="str">
        <f t="shared" si="9"/>
        <v>October</v>
      </c>
      <c r="H254" s="2" t="str">
        <f t="shared" si="10"/>
        <v>Week 5</v>
      </c>
      <c r="I254" s="2" t="str">
        <f t="shared" si="11"/>
        <v>Quarter 4</v>
      </c>
    </row>
    <row r="255" spans="1:9" x14ac:dyDescent="0.25">
      <c r="A255">
        <v>2800063492</v>
      </c>
      <c r="B255">
        <v>273114</v>
      </c>
      <c r="C255" t="s">
        <v>13</v>
      </c>
      <c r="D255">
        <v>18.95</v>
      </c>
      <c r="E255" t="s">
        <v>14</v>
      </c>
      <c r="F255" s="3">
        <v>44131</v>
      </c>
      <c r="G255" s="2" t="str">
        <f t="shared" si="9"/>
        <v>October</v>
      </c>
      <c r="H255" s="2" t="str">
        <f t="shared" si="10"/>
        <v>Week 5</v>
      </c>
      <c r="I255" s="2" t="str">
        <f t="shared" si="11"/>
        <v>Quarter 4</v>
      </c>
    </row>
    <row r="256" spans="1:9" x14ac:dyDescent="0.25">
      <c r="A256">
        <v>2800063493</v>
      </c>
      <c r="B256">
        <v>273114</v>
      </c>
      <c r="C256" t="s">
        <v>13</v>
      </c>
      <c r="D256">
        <v>89.9</v>
      </c>
      <c r="E256" t="s">
        <v>14</v>
      </c>
      <c r="F256" s="3">
        <v>44131</v>
      </c>
      <c r="G256" s="2" t="str">
        <f t="shared" si="9"/>
        <v>October</v>
      </c>
      <c r="H256" s="2" t="str">
        <f t="shared" si="10"/>
        <v>Week 5</v>
      </c>
      <c r="I256" s="2" t="str">
        <f t="shared" si="11"/>
        <v>Quarter 4</v>
      </c>
    </row>
    <row r="257" spans="1:9" x14ac:dyDescent="0.25">
      <c r="A257">
        <v>2800063494</v>
      </c>
      <c r="B257">
        <v>273114</v>
      </c>
      <c r="C257" t="s">
        <v>13</v>
      </c>
      <c r="D257">
        <v>495.55</v>
      </c>
      <c r="E257" t="s">
        <v>14</v>
      </c>
      <c r="F257" s="3">
        <v>44131</v>
      </c>
      <c r="G257" s="2" t="str">
        <f t="shared" si="9"/>
        <v>October</v>
      </c>
      <c r="H257" s="2" t="str">
        <f t="shared" si="10"/>
        <v>Week 5</v>
      </c>
      <c r="I257" s="2" t="str">
        <f t="shared" si="11"/>
        <v>Quarter 4</v>
      </c>
    </row>
    <row r="258" spans="1:9" x14ac:dyDescent="0.25">
      <c r="A258">
        <v>2800063496</v>
      </c>
      <c r="B258">
        <v>273114</v>
      </c>
      <c r="C258" t="s">
        <v>13</v>
      </c>
      <c r="D258">
        <v>3572.7</v>
      </c>
      <c r="E258" t="s">
        <v>14</v>
      </c>
      <c r="F258" s="3">
        <v>44131</v>
      </c>
      <c r="G258" s="2" t="str">
        <f t="shared" si="9"/>
        <v>October</v>
      </c>
      <c r="H258" s="2" t="str">
        <f t="shared" si="10"/>
        <v>Week 5</v>
      </c>
      <c r="I258" s="2" t="str">
        <f t="shared" si="11"/>
        <v>Quarter 4</v>
      </c>
    </row>
    <row r="259" spans="1:9" x14ac:dyDescent="0.25">
      <c r="A259">
        <v>2800063499</v>
      </c>
      <c r="B259">
        <v>273114</v>
      </c>
      <c r="C259" t="s">
        <v>13</v>
      </c>
      <c r="D259">
        <v>79.05</v>
      </c>
      <c r="E259" t="s">
        <v>14</v>
      </c>
      <c r="F259" s="3">
        <v>44131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5</v>
      </c>
      <c r="I259" s="2" t="str">
        <f t="shared" ref="I259:I322" si="14">"Quarter " &amp; ROUNDUP((MONTH(F259))/3,0)</f>
        <v>Quarter 4</v>
      </c>
    </row>
    <row r="260" spans="1:9" x14ac:dyDescent="0.25">
      <c r="A260">
        <v>2800063502</v>
      </c>
      <c r="B260">
        <v>273114</v>
      </c>
      <c r="C260" t="s">
        <v>13</v>
      </c>
      <c r="D260">
        <v>26.23</v>
      </c>
      <c r="E260" t="s">
        <v>14</v>
      </c>
      <c r="F260" s="3">
        <v>44131</v>
      </c>
      <c r="G260" s="2" t="str">
        <f t="shared" si="12"/>
        <v>October</v>
      </c>
      <c r="H260" s="2" t="str">
        <f t="shared" si="13"/>
        <v>Week 5</v>
      </c>
      <c r="I260" s="2" t="str">
        <f t="shared" si="14"/>
        <v>Quarter 4</v>
      </c>
    </row>
    <row r="261" spans="1:9" x14ac:dyDescent="0.25">
      <c r="A261">
        <v>2800063504</v>
      </c>
      <c r="B261">
        <v>273114</v>
      </c>
      <c r="C261" t="s">
        <v>13</v>
      </c>
      <c r="D261">
        <v>454.7</v>
      </c>
      <c r="E261" t="s">
        <v>14</v>
      </c>
      <c r="F261" s="3">
        <v>44131</v>
      </c>
      <c r="G261" s="2" t="str">
        <f t="shared" si="12"/>
        <v>October</v>
      </c>
      <c r="H261" s="2" t="str">
        <f t="shared" si="13"/>
        <v>Week 5</v>
      </c>
      <c r="I261" s="2" t="str">
        <f t="shared" si="14"/>
        <v>Quarter 4</v>
      </c>
    </row>
    <row r="262" spans="1:9" x14ac:dyDescent="0.25">
      <c r="A262">
        <v>2800063505</v>
      </c>
      <c r="B262">
        <v>273114</v>
      </c>
      <c r="C262" t="s">
        <v>13</v>
      </c>
      <c r="D262">
        <v>389.4</v>
      </c>
      <c r="E262" t="s">
        <v>14</v>
      </c>
      <c r="F262" s="3">
        <v>44131</v>
      </c>
      <c r="G262" s="2" t="str">
        <f t="shared" si="12"/>
        <v>October</v>
      </c>
      <c r="H262" s="2" t="str">
        <f t="shared" si="13"/>
        <v>Week 5</v>
      </c>
      <c r="I262" s="2" t="str">
        <f t="shared" si="14"/>
        <v>Quarter 4</v>
      </c>
    </row>
    <row r="263" spans="1:9" x14ac:dyDescent="0.25">
      <c r="A263">
        <v>2800063507</v>
      </c>
      <c r="B263">
        <v>273114</v>
      </c>
      <c r="C263" t="s">
        <v>13</v>
      </c>
      <c r="D263">
        <v>7.8</v>
      </c>
      <c r="E263" t="s">
        <v>14</v>
      </c>
      <c r="F263" s="3">
        <v>44131</v>
      </c>
      <c r="G263" s="2" t="str">
        <f t="shared" si="12"/>
        <v>October</v>
      </c>
      <c r="H263" s="2" t="str">
        <f t="shared" si="13"/>
        <v>Week 5</v>
      </c>
      <c r="I263" s="2" t="str">
        <f t="shared" si="14"/>
        <v>Quarter 4</v>
      </c>
    </row>
    <row r="264" spans="1:9" x14ac:dyDescent="0.25">
      <c r="A264">
        <v>2800063516</v>
      </c>
      <c r="B264">
        <v>273114</v>
      </c>
      <c r="C264" t="s">
        <v>13</v>
      </c>
      <c r="D264">
        <v>30.85</v>
      </c>
      <c r="E264" t="s">
        <v>14</v>
      </c>
      <c r="F264" s="3">
        <v>44131</v>
      </c>
      <c r="G264" s="2" t="str">
        <f t="shared" si="12"/>
        <v>October</v>
      </c>
      <c r="H264" s="2" t="str">
        <f t="shared" si="13"/>
        <v>Week 5</v>
      </c>
      <c r="I264" s="2" t="str">
        <f t="shared" si="14"/>
        <v>Quarter 4</v>
      </c>
    </row>
    <row r="265" spans="1:9" x14ac:dyDescent="0.25">
      <c r="A265">
        <v>2800063521</v>
      </c>
      <c r="B265">
        <v>273114</v>
      </c>
      <c r="C265" t="s">
        <v>13</v>
      </c>
      <c r="D265">
        <v>1015.8</v>
      </c>
      <c r="E265" t="s">
        <v>14</v>
      </c>
      <c r="F265" s="3">
        <v>44131</v>
      </c>
      <c r="G265" s="2" t="str">
        <f t="shared" si="12"/>
        <v>October</v>
      </c>
      <c r="H265" s="2" t="str">
        <f t="shared" si="13"/>
        <v>Week 5</v>
      </c>
      <c r="I265" s="2" t="str">
        <f t="shared" si="14"/>
        <v>Quarter 4</v>
      </c>
    </row>
    <row r="266" spans="1:9" x14ac:dyDescent="0.25">
      <c r="A266">
        <v>2800063526</v>
      </c>
      <c r="B266">
        <v>273114</v>
      </c>
      <c r="C266" t="s">
        <v>13</v>
      </c>
      <c r="D266">
        <v>65.349999999999994</v>
      </c>
      <c r="E266" t="s">
        <v>14</v>
      </c>
      <c r="F266" s="3">
        <v>44131</v>
      </c>
      <c r="G266" s="2" t="str">
        <f t="shared" si="12"/>
        <v>October</v>
      </c>
      <c r="H266" s="2" t="str">
        <f t="shared" si="13"/>
        <v>Week 5</v>
      </c>
      <c r="I266" s="2" t="str">
        <f t="shared" si="14"/>
        <v>Quarter 4</v>
      </c>
    </row>
    <row r="267" spans="1:9" x14ac:dyDescent="0.25">
      <c r="A267">
        <v>2800063538</v>
      </c>
      <c r="B267">
        <v>273114</v>
      </c>
      <c r="C267" t="s">
        <v>11</v>
      </c>
      <c r="D267">
        <v>187.35</v>
      </c>
      <c r="F267" s="3">
        <v>44131</v>
      </c>
      <c r="G267" s="2" t="str">
        <f t="shared" si="12"/>
        <v>October</v>
      </c>
      <c r="H267" s="2" t="str">
        <f t="shared" si="13"/>
        <v>Week 5</v>
      </c>
      <c r="I267" s="2" t="str">
        <f t="shared" si="14"/>
        <v>Quarter 4</v>
      </c>
    </row>
    <row r="268" spans="1:9" x14ac:dyDescent="0.25">
      <c r="A268">
        <v>2800063543</v>
      </c>
      <c r="B268">
        <v>273114</v>
      </c>
      <c r="C268" t="s">
        <v>13</v>
      </c>
      <c r="D268">
        <v>77.95</v>
      </c>
      <c r="E268" t="s">
        <v>14</v>
      </c>
      <c r="F268" s="3">
        <v>44131</v>
      </c>
      <c r="G268" s="2" t="str">
        <f t="shared" si="12"/>
        <v>October</v>
      </c>
      <c r="H268" s="2" t="str">
        <f t="shared" si="13"/>
        <v>Week 5</v>
      </c>
      <c r="I268" s="2" t="str">
        <f t="shared" si="14"/>
        <v>Quarter 4</v>
      </c>
    </row>
    <row r="269" spans="1:9" x14ac:dyDescent="0.25">
      <c r="A269">
        <v>2800063568</v>
      </c>
      <c r="B269">
        <v>273114</v>
      </c>
      <c r="C269" t="s">
        <v>13</v>
      </c>
      <c r="D269">
        <v>62.35</v>
      </c>
      <c r="E269" t="s">
        <v>14</v>
      </c>
      <c r="F269" s="3">
        <v>44131</v>
      </c>
      <c r="G269" s="2" t="str">
        <f t="shared" si="12"/>
        <v>October</v>
      </c>
      <c r="H269" s="2" t="str">
        <f t="shared" si="13"/>
        <v>Week 5</v>
      </c>
      <c r="I269" s="2" t="str">
        <f t="shared" si="14"/>
        <v>Quarter 4</v>
      </c>
    </row>
    <row r="270" spans="1:9" x14ac:dyDescent="0.25">
      <c r="A270">
        <v>2800063575</v>
      </c>
      <c r="B270">
        <v>273114</v>
      </c>
      <c r="C270" t="s">
        <v>13</v>
      </c>
      <c r="D270">
        <v>181.25</v>
      </c>
      <c r="E270" t="s">
        <v>14</v>
      </c>
      <c r="F270" s="3">
        <v>44131</v>
      </c>
      <c r="G270" s="2" t="str">
        <f t="shared" si="12"/>
        <v>October</v>
      </c>
      <c r="H270" s="2" t="str">
        <f t="shared" si="13"/>
        <v>Week 5</v>
      </c>
      <c r="I270" s="2" t="str">
        <f t="shared" si="14"/>
        <v>Quarter 4</v>
      </c>
    </row>
    <row r="271" spans="1:9" x14ac:dyDescent="0.25">
      <c r="A271">
        <v>2800063579</v>
      </c>
      <c r="B271">
        <v>273114</v>
      </c>
      <c r="C271" t="s">
        <v>13</v>
      </c>
      <c r="D271">
        <v>62.95</v>
      </c>
      <c r="E271" t="s">
        <v>14</v>
      </c>
      <c r="F271" s="3">
        <v>44131</v>
      </c>
      <c r="G271" s="2" t="str">
        <f t="shared" si="12"/>
        <v>October</v>
      </c>
      <c r="H271" s="2" t="str">
        <f t="shared" si="13"/>
        <v>Week 5</v>
      </c>
      <c r="I271" s="2" t="str">
        <f t="shared" si="14"/>
        <v>Quarter 4</v>
      </c>
    </row>
    <row r="272" spans="1:9" x14ac:dyDescent="0.25">
      <c r="A272">
        <v>2800063580</v>
      </c>
      <c r="B272">
        <v>273114</v>
      </c>
      <c r="C272" t="s">
        <v>13</v>
      </c>
      <c r="D272">
        <v>172.8</v>
      </c>
      <c r="E272" t="s">
        <v>14</v>
      </c>
      <c r="F272" s="3">
        <v>44131</v>
      </c>
      <c r="G272" s="2" t="str">
        <f t="shared" si="12"/>
        <v>October</v>
      </c>
      <c r="H272" s="2" t="str">
        <f t="shared" si="13"/>
        <v>Week 5</v>
      </c>
      <c r="I272" s="2" t="str">
        <f t="shared" si="14"/>
        <v>Quarter 4</v>
      </c>
    </row>
    <row r="273" spans="1:9" x14ac:dyDescent="0.25">
      <c r="A273">
        <v>2800063581</v>
      </c>
      <c r="B273">
        <v>273114</v>
      </c>
      <c r="C273" t="s">
        <v>13</v>
      </c>
      <c r="D273">
        <v>296.85000000000002</v>
      </c>
      <c r="E273" t="s">
        <v>14</v>
      </c>
      <c r="F273" s="3">
        <v>44131</v>
      </c>
      <c r="G273" s="2" t="str">
        <f t="shared" si="12"/>
        <v>October</v>
      </c>
      <c r="H273" s="2" t="str">
        <f t="shared" si="13"/>
        <v>Week 5</v>
      </c>
      <c r="I273" s="2" t="str">
        <f t="shared" si="14"/>
        <v>Quarter 4</v>
      </c>
    </row>
    <row r="274" spans="1:9" x14ac:dyDescent="0.25">
      <c r="A274">
        <v>2800063586</v>
      </c>
      <c r="B274">
        <v>273114</v>
      </c>
      <c r="C274" t="s">
        <v>13</v>
      </c>
      <c r="D274">
        <v>992.9</v>
      </c>
      <c r="E274" t="s">
        <v>14</v>
      </c>
      <c r="F274" s="3">
        <v>44131</v>
      </c>
      <c r="G274" s="2" t="str">
        <f t="shared" si="12"/>
        <v>October</v>
      </c>
      <c r="H274" s="2" t="str">
        <f t="shared" si="13"/>
        <v>Week 5</v>
      </c>
      <c r="I274" s="2" t="str">
        <f t="shared" si="14"/>
        <v>Quarter 4</v>
      </c>
    </row>
    <row r="275" spans="1:9" x14ac:dyDescent="0.25">
      <c r="A275">
        <v>2800063587</v>
      </c>
      <c r="B275">
        <v>273114</v>
      </c>
      <c r="C275" t="s">
        <v>13</v>
      </c>
      <c r="D275">
        <v>107.85</v>
      </c>
      <c r="E275" t="s">
        <v>14</v>
      </c>
      <c r="F275" s="3">
        <v>44131</v>
      </c>
      <c r="G275" s="2" t="str">
        <f t="shared" si="12"/>
        <v>October</v>
      </c>
      <c r="H275" s="2" t="str">
        <f t="shared" si="13"/>
        <v>Week 5</v>
      </c>
      <c r="I275" s="2" t="str">
        <f t="shared" si="14"/>
        <v>Quarter 4</v>
      </c>
    </row>
    <row r="276" spans="1:9" x14ac:dyDescent="0.25">
      <c r="A276">
        <v>2800063589</v>
      </c>
      <c r="B276">
        <v>273114</v>
      </c>
      <c r="C276" t="s">
        <v>13</v>
      </c>
      <c r="D276">
        <v>1244.9000000000001</v>
      </c>
      <c r="E276" t="s">
        <v>14</v>
      </c>
      <c r="F276" s="3">
        <v>44131</v>
      </c>
      <c r="G276" s="2" t="str">
        <f t="shared" si="12"/>
        <v>October</v>
      </c>
      <c r="H276" s="2" t="str">
        <f t="shared" si="13"/>
        <v>Week 5</v>
      </c>
      <c r="I276" s="2" t="str">
        <f t="shared" si="14"/>
        <v>Quarter 4</v>
      </c>
    </row>
    <row r="277" spans="1:9" x14ac:dyDescent="0.25">
      <c r="A277">
        <v>2800063594</v>
      </c>
      <c r="B277">
        <v>273114</v>
      </c>
      <c r="C277" t="s">
        <v>11</v>
      </c>
      <c r="D277">
        <v>49.3</v>
      </c>
      <c r="F277" s="3">
        <v>44131</v>
      </c>
      <c r="G277" s="2" t="str">
        <f t="shared" si="12"/>
        <v>October</v>
      </c>
      <c r="H277" s="2" t="str">
        <f t="shared" si="13"/>
        <v>Week 5</v>
      </c>
      <c r="I277" s="2" t="str">
        <f t="shared" si="14"/>
        <v>Quarter 4</v>
      </c>
    </row>
    <row r="278" spans="1:9" x14ac:dyDescent="0.25">
      <c r="A278">
        <v>2800063597</v>
      </c>
      <c r="B278">
        <v>273114</v>
      </c>
      <c r="C278" t="s">
        <v>13</v>
      </c>
      <c r="D278">
        <v>221.2</v>
      </c>
      <c r="E278" t="s">
        <v>14</v>
      </c>
      <c r="F278" s="3">
        <v>44131</v>
      </c>
      <c r="G278" s="2" t="str">
        <f t="shared" si="12"/>
        <v>October</v>
      </c>
      <c r="H278" s="2" t="str">
        <f t="shared" si="13"/>
        <v>Week 5</v>
      </c>
      <c r="I278" s="2" t="str">
        <f t="shared" si="14"/>
        <v>Quarter 4</v>
      </c>
    </row>
    <row r="279" spans="1:9" x14ac:dyDescent="0.25">
      <c r="A279">
        <v>2800063601</v>
      </c>
      <c r="B279">
        <v>273114</v>
      </c>
      <c r="C279" t="s">
        <v>13</v>
      </c>
      <c r="D279">
        <v>246.65</v>
      </c>
      <c r="E279" t="s">
        <v>14</v>
      </c>
      <c r="F279" s="3">
        <v>44131</v>
      </c>
      <c r="G279" s="2" t="str">
        <f t="shared" si="12"/>
        <v>October</v>
      </c>
      <c r="H279" s="2" t="str">
        <f t="shared" si="13"/>
        <v>Week 5</v>
      </c>
      <c r="I279" s="2" t="str">
        <f t="shared" si="14"/>
        <v>Quarter 4</v>
      </c>
    </row>
    <row r="280" spans="1:9" x14ac:dyDescent="0.25">
      <c r="A280">
        <v>2800063604</v>
      </c>
      <c r="B280">
        <v>273114</v>
      </c>
      <c r="C280" t="s">
        <v>13</v>
      </c>
      <c r="D280">
        <v>7645.45</v>
      </c>
      <c r="E280" t="s">
        <v>14</v>
      </c>
      <c r="F280" s="3">
        <v>44131</v>
      </c>
      <c r="G280" s="2" t="str">
        <f t="shared" si="12"/>
        <v>October</v>
      </c>
      <c r="H280" s="2" t="str">
        <f t="shared" si="13"/>
        <v>Week 5</v>
      </c>
      <c r="I280" s="2" t="str">
        <f t="shared" si="14"/>
        <v>Quarter 4</v>
      </c>
    </row>
    <row r="281" spans="1:9" x14ac:dyDescent="0.25">
      <c r="A281">
        <v>2800063608</v>
      </c>
      <c r="B281">
        <v>273114</v>
      </c>
      <c r="C281" t="s">
        <v>13</v>
      </c>
      <c r="D281">
        <v>303.75</v>
      </c>
      <c r="E281" t="s">
        <v>14</v>
      </c>
      <c r="F281" s="3">
        <v>44131</v>
      </c>
      <c r="G281" s="2" t="str">
        <f t="shared" si="12"/>
        <v>October</v>
      </c>
      <c r="H281" s="2" t="str">
        <f t="shared" si="13"/>
        <v>Week 5</v>
      </c>
      <c r="I281" s="2" t="str">
        <f t="shared" si="14"/>
        <v>Quarter 4</v>
      </c>
    </row>
    <row r="282" spans="1:9" x14ac:dyDescent="0.25">
      <c r="A282">
        <v>2800063745</v>
      </c>
      <c r="B282">
        <v>273114</v>
      </c>
      <c r="C282" t="s">
        <v>21</v>
      </c>
      <c r="D282">
        <v>153.05000000000001</v>
      </c>
      <c r="F282" s="3">
        <v>44131</v>
      </c>
      <c r="G282" s="2" t="str">
        <f t="shared" si="12"/>
        <v>October</v>
      </c>
      <c r="H282" s="2" t="str">
        <f t="shared" si="13"/>
        <v>Week 5</v>
      </c>
      <c r="I282" s="2" t="str">
        <f t="shared" si="14"/>
        <v>Quarter 4</v>
      </c>
    </row>
    <row r="283" spans="1:9" x14ac:dyDescent="0.25">
      <c r="A283">
        <v>2800063826</v>
      </c>
      <c r="B283">
        <v>273114</v>
      </c>
      <c r="C283" t="s">
        <v>22</v>
      </c>
      <c r="D283">
        <v>200</v>
      </c>
      <c r="F283" s="3">
        <v>44131</v>
      </c>
      <c r="G283" s="2" t="str">
        <f t="shared" si="12"/>
        <v>October</v>
      </c>
      <c r="H283" s="2" t="str">
        <f t="shared" si="13"/>
        <v>Week 5</v>
      </c>
      <c r="I283" s="2" t="str">
        <f t="shared" si="14"/>
        <v>Quarter 4</v>
      </c>
    </row>
    <row r="284" spans="1:9" x14ac:dyDescent="0.25">
      <c r="A284">
        <v>2800063867</v>
      </c>
      <c r="B284">
        <v>273114</v>
      </c>
      <c r="C284" t="s">
        <v>11</v>
      </c>
      <c r="D284">
        <v>393.7</v>
      </c>
      <c r="F284" s="3">
        <v>44131</v>
      </c>
      <c r="G284" s="2" t="str">
        <f t="shared" si="12"/>
        <v>October</v>
      </c>
      <c r="H284" s="2" t="str">
        <f t="shared" si="13"/>
        <v>Week 5</v>
      </c>
      <c r="I284" s="2" t="str">
        <f t="shared" si="14"/>
        <v>Quarter 4</v>
      </c>
    </row>
    <row r="285" spans="1:9" x14ac:dyDescent="0.25">
      <c r="A285">
        <v>2800063868</v>
      </c>
      <c r="B285">
        <v>273114</v>
      </c>
      <c r="C285" t="s">
        <v>11</v>
      </c>
      <c r="D285">
        <v>329077.75</v>
      </c>
      <c r="F285" s="3">
        <v>44131</v>
      </c>
      <c r="G285" s="2" t="str">
        <f t="shared" si="12"/>
        <v>October</v>
      </c>
      <c r="H285" s="2" t="str">
        <f t="shared" si="13"/>
        <v>Week 5</v>
      </c>
      <c r="I285" s="2" t="str">
        <f t="shared" si="14"/>
        <v>Quarter 4</v>
      </c>
    </row>
    <row r="286" spans="1:9" x14ac:dyDescent="0.25">
      <c r="A286">
        <v>2800063880</v>
      </c>
      <c r="B286">
        <v>273114</v>
      </c>
      <c r="C286" t="s">
        <v>11</v>
      </c>
      <c r="D286">
        <v>107.45</v>
      </c>
      <c r="F286" s="3">
        <v>44131</v>
      </c>
      <c r="G286" s="2" t="str">
        <f t="shared" si="12"/>
        <v>October</v>
      </c>
      <c r="H286" s="2" t="str">
        <f t="shared" si="13"/>
        <v>Week 5</v>
      </c>
      <c r="I286" s="2" t="str">
        <f t="shared" si="14"/>
        <v>Quarter 4</v>
      </c>
    </row>
    <row r="287" spans="1:9" x14ac:dyDescent="0.25">
      <c r="A287">
        <v>2800063881</v>
      </c>
      <c r="B287">
        <v>273114</v>
      </c>
      <c r="C287" t="s">
        <v>11</v>
      </c>
      <c r="D287">
        <v>75.8</v>
      </c>
      <c r="F287" s="3">
        <v>44131</v>
      </c>
      <c r="G287" s="2" t="str">
        <f t="shared" si="12"/>
        <v>October</v>
      </c>
      <c r="H287" s="2" t="str">
        <f t="shared" si="13"/>
        <v>Week 5</v>
      </c>
      <c r="I287" s="2" t="str">
        <f t="shared" si="14"/>
        <v>Quarter 4</v>
      </c>
    </row>
    <row r="288" spans="1:9" x14ac:dyDescent="0.25">
      <c r="A288">
        <v>2800063600</v>
      </c>
      <c r="B288">
        <v>273115</v>
      </c>
      <c r="C288" t="s">
        <v>11</v>
      </c>
      <c r="D288">
        <v>939.05</v>
      </c>
      <c r="F288" s="3">
        <v>44131</v>
      </c>
      <c r="G288" s="2" t="str">
        <f t="shared" si="12"/>
        <v>October</v>
      </c>
      <c r="H288" s="2" t="str">
        <f t="shared" si="13"/>
        <v>Week 5</v>
      </c>
      <c r="I288" s="2" t="str">
        <f t="shared" si="14"/>
        <v>Quarter 4</v>
      </c>
    </row>
    <row r="289" spans="1:9" x14ac:dyDescent="0.25">
      <c r="A289">
        <v>2800063693</v>
      </c>
      <c r="B289">
        <v>273115</v>
      </c>
      <c r="C289" t="s">
        <v>13</v>
      </c>
      <c r="D289">
        <v>162.85</v>
      </c>
      <c r="E289" t="s">
        <v>14</v>
      </c>
      <c r="F289" s="3">
        <v>44131</v>
      </c>
      <c r="G289" s="2" t="str">
        <f t="shared" si="12"/>
        <v>October</v>
      </c>
      <c r="H289" s="2" t="str">
        <f t="shared" si="13"/>
        <v>Week 5</v>
      </c>
      <c r="I289" s="2" t="str">
        <f t="shared" si="14"/>
        <v>Quarter 4</v>
      </c>
    </row>
    <row r="290" spans="1:9" x14ac:dyDescent="0.25">
      <c r="A290">
        <v>2800063556</v>
      </c>
      <c r="B290">
        <v>273116</v>
      </c>
      <c r="C290" t="s">
        <v>12</v>
      </c>
      <c r="D290">
        <v>93.95</v>
      </c>
      <c r="F290" s="3">
        <v>44131</v>
      </c>
      <c r="G290" s="2" t="str">
        <f t="shared" si="12"/>
        <v>October</v>
      </c>
      <c r="H290" s="2" t="str">
        <f t="shared" si="13"/>
        <v>Week 5</v>
      </c>
      <c r="I290" s="2" t="str">
        <f t="shared" si="14"/>
        <v>Quarter 4</v>
      </c>
    </row>
    <row r="291" spans="1:9" x14ac:dyDescent="0.25">
      <c r="A291">
        <v>2800063560</v>
      </c>
      <c r="B291">
        <v>273116</v>
      </c>
      <c r="C291" t="s">
        <v>12</v>
      </c>
      <c r="D291">
        <v>795.35</v>
      </c>
      <c r="F291" s="3">
        <v>44131</v>
      </c>
      <c r="G291" s="2" t="str">
        <f t="shared" si="12"/>
        <v>October</v>
      </c>
      <c r="H291" s="2" t="str">
        <f t="shared" si="13"/>
        <v>Week 5</v>
      </c>
      <c r="I291" s="2" t="str">
        <f t="shared" si="14"/>
        <v>Quarter 4</v>
      </c>
    </row>
    <row r="292" spans="1:9" x14ac:dyDescent="0.25">
      <c r="A292">
        <v>2800063767</v>
      </c>
      <c r="B292">
        <v>273116</v>
      </c>
      <c r="C292" t="s">
        <v>13</v>
      </c>
      <c r="D292">
        <v>13.9</v>
      </c>
      <c r="E292" t="s">
        <v>14</v>
      </c>
      <c r="F292" s="3">
        <v>44131</v>
      </c>
      <c r="G292" s="2" t="str">
        <f t="shared" si="12"/>
        <v>October</v>
      </c>
      <c r="H292" s="2" t="str">
        <f t="shared" si="13"/>
        <v>Week 5</v>
      </c>
      <c r="I292" s="2" t="str">
        <f t="shared" si="14"/>
        <v>Quarter 4</v>
      </c>
    </row>
    <row r="293" spans="1:9" x14ac:dyDescent="0.25">
      <c r="A293">
        <v>2800063768</v>
      </c>
      <c r="B293">
        <v>273116</v>
      </c>
      <c r="C293" t="s">
        <v>13</v>
      </c>
      <c r="D293">
        <v>25</v>
      </c>
      <c r="E293" t="s">
        <v>14</v>
      </c>
      <c r="F293" s="3">
        <v>44131</v>
      </c>
      <c r="G293" s="2" t="str">
        <f t="shared" si="12"/>
        <v>October</v>
      </c>
      <c r="H293" s="2" t="str">
        <f t="shared" si="13"/>
        <v>Week 5</v>
      </c>
      <c r="I293" s="2" t="str">
        <f t="shared" si="14"/>
        <v>Quarter 4</v>
      </c>
    </row>
    <row r="294" spans="1:9" x14ac:dyDescent="0.25">
      <c r="A294">
        <v>2800063789</v>
      </c>
      <c r="B294">
        <v>273118</v>
      </c>
      <c r="C294" t="s">
        <v>15</v>
      </c>
      <c r="D294">
        <v>2620</v>
      </c>
      <c r="E294" t="s">
        <v>17</v>
      </c>
      <c r="F294" s="3">
        <v>44131</v>
      </c>
      <c r="G294" s="2" t="str">
        <f t="shared" si="12"/>
        <v>October</v>
      </c>
      <c r="H294" s="2" t="str">
        <f t="shared" si="13"/>
        <v>Week 5</v>
      </c>
      <c r="I294" s="2" t="str">
        <f t="shared" si="14"/>
        <v>Quarter 4</v>
      </c>
    </row>
    <row r="295" spans="1:9" x14ac:dyDescent="0.25">
      <c r="A295">
        <v>2800063779</v>
      </c>
      <c r="B295">
        <v>271151</v>
      </c>
      <c r="C295" t="s">
        <v>15</v>
      </c>
      <c r="D295">
        <v>2320</v>
      </c>
      <c r="E295" t="s">
        <v>17</v>
      </c>
      <c r="F295" s="3">
        <v>44131</v>
      </c>
      <c r="G295" s="2" t="str">
        <f t="shared" si="12"/>
        <v>October</v>
      </c>
      <c r="H295" s="2" t="str">
        <f t="shared" si="13"/>
        <v>Week 5</v>
      </c>
      <c r="I295" s="2" t="str">
        <f t="shared" si="14"/>
        <v>Quarter 4</v>
      </c>
    </row>
    <row r="296" spans="1:9" x14ac:dyDescent="0.25">
      <c r="A296">
        <v>2800063781</v>
      </c>
      <c r="B296">
        <v>271151</v>
      </c>
      <c r="C296" t="s">
        <v>15</v>
      </c>
      <c r="D296">
        <v>5000</v>
      </c>
      <c r="E296" t="s">
        <v>17</v>
      </c>
      <c r="F296" s="3">
        <v>44131</v>
      </c>
      <c r="G296" s="2" t="str">
        <f t="shared" si="12"/>
        <v>October</v>
      </c>
      <c r="H296" s="2" t="str">
        <f t="shared" si="13"/>
        <v>Week 5</v>
      </c>
      <c r="I296" s="2" t="str">
        <f t="shared" si="14"/>
        <v>Quarter 4</v>
      </c>
    </row>
    <row r="297" spans="1:9" x14ac:dyDescent="0.25">
      <c r="A297">
        <v>2800063854</v>
      </c>
      <c r="B297">
        <v>271351</v>
      </c>
      <c r="C297" t="s">
        <v>15</v>
      </c>
      <c r="D297">
        <v>29.3</v>
      </c>
      <c r="E297" t="s">
        <v>19</v>
      </c>
      <c r="F297" s="3">
        <v>44131</v>
      </c>
      <c r="G297" s="2" t="str">
        <f t="shared" si="12"/>
        <v>October</v>
      </c>
      <c r="H297" s="2" t="str">
        <f t="shared" si="13"/>
        <v>Week 5</v>
      </c>
      <c r="I297" s="2" t="str">
        <f t="shared" si="14"/>
        <v>Quarter 4</v>
      </c>
    </row>
    <row r="298" spans="1:9" x14ac:dyDescent="0.25">
      <c r="A298">
        <v>2800063889</v>
      </c>
      <c r="B298">
        <v>271351</v>
      </c>
      <c r="C298" t="s">
        <v>21</v>
      </c>
      <c r="D298">
        <v>443.9</v>
      </c>
      <c r="F298" s="3">
        <v>44131</v>
      </c>
      <c r="G298" s="2" t="str">
        <f t="shared" si="12"/>
        <v>October</v>
      </c>
      <c r="H298" s="2" t="str">
        <f t="shared" si="13"/>
        <v>Week 5</v>
      </c>
      <c r="I298" s="2" t="str">
        <f t="shared" si="14"/>
        <v>Quarter 4</v>
      </c>
    </row>
    <row r="299" spans="1:9" x14ac:dyDescent="0.25">
      <c r="A299">
        <v>2800063463</v>
      </c>
      <c r="B299">
        <v>273114</v>
      </c>
      <c r="C299" t="s">
        <v>13</v>
      </c>
      <c r="D299">
        <v>88.6</v>
      </c>
      <c r="E299" t="s">
        <v>14</v>
      </c>
      <c r="F299" s="3">
        <v>44131</v>
      </c>
      <c r="G299" s="2" t="str">
        <f t="shared" si="12"/>
        <v>October</v>
      </c>
      <c r="H299" s="2" t="str">
        <f t="shared" si="13"/>
        <v>Week 5</v>
      </c>
      <c r="I299" s="2" t="str">
        <f t="shared" si="14"/>
        <v>Quarter 4</v>
      </c>
    </row>
    <row r="300" spans="1:9" x14ac:dyDescent="0.25">
      <c r="A300">
        <v>2800063464</v>
      </c>
      <c r="B300">
        <v>273114</v>
      </c>
      <c r="C300" t="s">
        <v>13</v>
      </c>
      <c r="D300">
        <v>21.15</v>
      </c>
      <c r="E300" t="s">
        <v>14</v>
      </c>
      <c r="F300" s="3">
        <v>44131</v>
      </c>
      <c r="G300" s="2" t="str">
        <f t="shared" si="12"/>
        <v>October</v>
      </c>
      <c r="H300" s="2" t="str">
        <f t="shared" si="13"/>
        <v>Week 5</v>
      </c>
      <c r="I300" s="2" t="str">
        <f t="shared" si="14"/>
        <v>Quarter 4</v>
      </c>
    </row>
    <row r="301" spans="1:9" x14ac:dyDescent="0.25">
      <c r="A301">
        <v>2800063465</v>
      </c>
      <c r="B301">
        <v>273114</v>
      </c>
      <c r="C301" t="s">
        <v>13</v>
      </c>
      <c r="D301">
        <v>34.9</v>
      </c>
      <c r="E301" t="s">
        <v>14</v>
      </c>
      <c r="F301" s="3">
        <v>44131</v>
      </c>
      <c r="G301" s="2" t="str">
        <f t="shared" si="12"/>
        <v>October</v>
      </c>
      <c r="H301" s="2" t="str">
        <f t="shared" si="13"/>
        <v>Week 5</v>
      </c>
      <c r="I301" s="2" t="str">
        <f t="shared" si="14"/>
        <v>Quarter 4</v>
      </c>
    </row>
    <row r="302" spans="1:9" x14ac:dyDescent="0.25">
      <c r="A302">
        <v>2800063466</v>
      </c>
      <c r="B302">
        <v>273114</v>
      </c>
      <c r="C302" t="s">
        <v>13</v>
      </c>
      <c r="D302">
        <v>2175.15</v>
      </c>
      <c r="E302" t="s">
        <v>14</v>
      </c>
      <c r="F302" s="3">
        <v>44131</v>
      </c>
      <c r="G302" s="2" t="str">
        <f t="shared" si="12"/>
        <v>October</v>
      </c>
      <c r="H302" s="2" t="str">
        <f t="shared" si="13"/>
        <v>Week 5</v>
      </c>
      <c r="I302" s="2" t="str">
        <f t="shared" si="14"/>
        <v>Quarter 4</v>
      </c>
    </row>
    <row r="303" spans="1:9" x14ac:dyDescent="0.25">
      <c r="A303">
        <v>2800063467</v>
      </c>
      <c r="B303">
        <v>273114</v>
      </c>
      <c r="C303" t="s">
        <v>13</v>
      </c>
      <c r="D303">
        <v>976.75</v>
      </c>
      <c r="E303" t="s">
        <v>14</v>
      </c>
      <c r="F303" s="3">
        <v>44131</v>
      </c>
      <c r="G303" s="2" t="str">
        <f t="shared" si="12"/>
        <v>October</v>
      </c>
      <c r="H303" s="2" t="str">
        <f t="shared" si="13"/>
        <v>Week 5</v>
      </c>
      <c r="I303" s="2" t="str">
        <f t="shared" si="14"/>
        <v>Quarter 4</v>
      </c>
    </row>
    <row r="304" spans="1:9" x14ac:dyDescent="0.25">
      <c r="A304">
        <v>2800063676</v>
      </c>
      <c r="B304">
        <v>273114</v>
      </c>
      <c r="C304" t="s">
        <v>15</v>
      </c>
      <c r="D304">
        <v>991</v>
      </c>
      <c r="E304" t="s">
        <v>16</v>
      </c>
      <c r="F304" s="3">
        <v>44131</v>
      </c>
      <c r="G304" s="2" t="str">
        <f t="shared" si="12"/>
        <v>October</v>
      </c>
      <c r="H304" s="2" t="str">
        <f t="shared" si="13"/>
        <v>Week 5</v>
      </c>
      <c r="I304" s="2" t="str">
        <f t="shared" si="14"/>
        <v>Quarter 4</v>
      </c>
    </row>
    <row r="305" spans="1:9" x14ac:dyDescent="0.25">
      <c r="A305">
        <v>2800063727</v>
      </c>
      <c r="B305">
        <v>273114</v>
      </c>
      <c r="C305" t="s">
        <v>22</v>
      </c>
      <c r="D305">
        <v>7.8</v>
      </c>
      <c r="F305" s="3">
        <v>44131</v>
      </c>
      <c r="G305" s="2" t="str">
        <f t="shared" si="12"/>
        <v>October</v>
      </c>
      <c r="H305" s="2" t="str">
        <f t="shared" si="13"/>
        <v>Week 5</v>
      </c>
      <c r="I305" s="2" t="str">
        <f t="shared" si="14"/>
        <v>Quarter 4</v>
      </c>
    </row>
    <row r="306" spans="1:9" x14ac:dyDescent="0.25">
      <c r="A306">
        <v>2800063876</v>
      </c>
      <c r="B306">
        <v>273114</v>
      </c>
      <c r="C306" t="s">
        <v>11</v>
      </c>
      <c r="D306">
        <v>329.9</v>
      </c>
      <c r="F306" s="3">
        <v>44131</v>
      </c>
      <c r="G306" s="2" t="str">
        <f t="shared" si="12"/>
        <v>October</v>
      </c>
      <c r="H306" s="2" t="str">
        <f t="shared" si="13"/>
        <v>Week 5</v>
      </c>
      <c r="I306" s="2" t="str">
        <f t="shared" si="14"/>
        <v>Quarter 4</v>
      </c>
    </row>
    <row r="307" spans="1:9" x14ac:dyDescent="0.25">
      <c r="A307">
        <v>2800063878</v>
      </c>
      <c r="B307">
        <v>273114</v>
      </c>
      <c r="C307" t="s">
        <v>11</v>
      </c>
      <c r="D307">
        <v>44.2</v>
      </c>
      <c r="F307" s="3">
        <v>44131</v>
      </c>
      <c r="G307" s="2" t="str">
        <f t="shared" si="12"/>
        <v>October</v>
      </c>
      <c r="H307" s="2" t="str">
        <f t="shared" si="13"/>
        <v>Week 5</v>
      </c>
      <c r="I307" s="2" t="str">
        <f t="shared" si="14"/>
        <v>Quarter 4</v>
      </c>
    </row>
    <row r="308" spans="1:9" x14ac:dyDescent="0.25">
      <c r="A308">
        <v>2800063879</v>
      </c>
      <c r="B308">
        <v>273114</v>
      </c>
      <c r="C308" t="s">
        <v>11</v>
      </c>
      <c r="D308">
        <v>80.5</v>
      </c>
      <c r="F308" s="3">
        <v>44131</v>
      </c>
      <c r="G308" s="2" t="str">
        <f t="shared" si="12"/>
        <v>October</v>
      </c>
      <c r="H308" s="2" t="str">
        <f t="shared" si="13"/>
        <v>Week 5</v>
      </c>
      <c r="I308" s="2" t="str">
        <f t="shared" si="14"/>
        <v>Quarter 4</v>
      </c>
    </row>
    <row r="309" spans="1:9" x14ac:dyDescent="0.25">
      <c r="A309">
        <v>2800063747</v>
      </c>
      <c r="B309">
        <v>273116</v>
      </c>
      <c r="C309" t="s">
        <v>13</v>
      </c>
      <c r="D309">
        <v>76.95</v>
      </c>
      <c r="E309" t="s">
        <v>14</v>
      </c>
      <c r="F309" s="3">
        <v>44131</v>
      </c>
      <c r="G309" s="2" t="str">
        <f t="shared" si="12"/>
        <v>October</v>
      </c>
      <c r="H309" s="2" t="str">
        <f t="shared" si="13"/>
        <v>Week 5</v>
      </c>
      <c r="I309" s="2" t="str">
        <f t="shared" si="14"/>
        <v>Quarter 4</v>
      </c>
    </row>
    <row r="310" spans="1:9" x14ac:dyDescent="0.25">
      <c r="A310">
        <v>2800063749</v>
      </c>
      <c r="B310">
        <v>273116</v>
      </c>
      <c r="C310" t="s">
        <v>13</v>
      </c>
      <c r="D310">
        <v>36.049999999999997</v>
      </c>
      <c r="E310" t="s">
        <v>14</v>
      </c>
      <c r="F310" s="3">
        <v>44131</v>
      </c>
      <c r="G310" s="2" t="str">
        <f t="shared" si="12"/>
        <v>October</v>
      </c>
      <c r="H310" s="2" t="str">
        <f t="shared" si="13"/>
        <v>Week 5</v>
      </c>
      <c r="I310" s="2" t="str">
        <f t="shared" si="14"/>
        <v>Quarter 4</v>
      </c>
    </row>
    <row r="311" spans="1:9" x14ac:dyDescent="0.25">
      <c r="A311">
        <v>2800063760</v>
      </c>
      <c r="B311">
        <v>273116</v>
      </c>
      <c r="C311" t="s">
        <v>13</v>
      </c>
      <c r="D311">
        <v>50.35</v>
      </c>
      <c r="E311" t="s">
        <v>14</v>
      </c>
      <c r="F311" s="3">
        <v>44131</v>
      </c>
      <c r="G311" s="2" t="str">
        <f t="shared" si="12"/>
        <v>October</v>
      </c>
      <c r="H311" s="2" t="str">
        <f t="shared" si="13"/>
        <v>Week 5</v>
      </c>
      <c r="I311" s="2" t="str">
        <f t="shared" si="14"/>
        <v>Quarter 4</v>
      </c>
    </row>
    <row r="312" spans="1:9" x14ac:dyDescent="0.25">
      <c r="A312">
        <v>2800063780</v>
      </c>
      <c r="B312">
        <v>273118</v>
      </c>
      <c r="C312" t="s">
        <v>15</v>
      </c>
      <c r="D312">
        <v>7121</v>
      </c>
      <c r="E312" t="s">
        <v>17</v>
      </c>
      <c r="F312" s="3">
        <v>44131</v>
      </c>
      <c r="G312" s="2" t="str">
        <f t="shared" si="12"/>
        <v>October</v>
      </c>
      <c r="H312" s="2" t="str">
        <f t="shared" si="13"/>
        <v>Week 5</v>
      </c>
      <c r="I312" s="2" t="str">
        <f t="shared" si="14"/>
        <v>Quarter 4</v>
      </c>
    </row>
    <row r="313" spans="1:9" x14ac:dyDescent="0.25">
      <c r="A313">
        <v>2800063775</v>
      </c>
      <c r="B313">
        <v>271151</v>
      </c>
      <c r="C313" t="s">
        <v>15</v>
      </c>
      <c r="D313">
        <v>930</v>
      </c>
      <c r="E313" t="s">
        <v>17</v>
      </c>
      <c r="F313" s="3">
        <v>44131</v>
      </c>
      <c r="G313" s="2" t="str">
        <f t="shared" si="12"/>
        <v>October</v>
      </c>
      <c r="H313" s="2" t="str">
        <f t="shared" si="13"/>
        <v>Week 5</v>
      </c>
      <c r="I313" s="2" t="str">
        <f t="shared" si="14"/>
        <v>Quarter 4</v>
      </c>
    </row>
    <row r="314" spans="1:9" x14ac:dyDescent="0.25">
      <c r="A314">
        <v>2800063776</v>
      </c>
      <c r="B314">
        <v>271151</v>
      </c>
      <c r="C314" t="s">
        <v>15</v>
      </c>
      <c r="D314">
        <v>4960</v>
      </c>
      <c r="E314" t="s">
        <v>17</v>
      </c>
      <c r="F314" s="3">
        <v>44131</v>
      </c>
      <c r="G314" s="2" t="str">
        <f t="shared" si="12"/>
        <v>October</v>
      </c>
      <c r="H314" s="2" t="str">
        <f t="shared" si="13"/>
        <v>Week 5</v>
      </c>
      <c r="I314" s="2" t="str">
        <f t="shared" si="14"/>
        <v>Quarter 4</v>
      </c>
    </row>
    <row r="315" spans="1:9" x14ac:dyDescent="0.25">
      <c r="A315">
        <v>2800063777</v>
      </c>
      <c r="B315">
        <v>271151</v>
      </c>
      <c r="C315" t="s">
        <v>15</v>
      </c>
      <c r="D315">
        <v>6340</v>
      </c>
      <c r="E315" t="s">
        <v>17</v>
      </c>
      <c r="F315" s="3">
        <v>44131</v>
      </c>
      <c r="G315" s="2" t="str">
        <f t="shared" si="12"/>
        <v>October</v>
      </c>
      <c r="H315" s="2" t="str">
        <f t="shared" si="13"/>
        <v>Week 5</v>
      </c>
      <c r="I315" s="2" t="str">
        <f t="shared" si="14"/>
        <v>Quarter 4</v>
      </c>
    </row>
    <row r="316" spans="1:9" x14ac:dyDescent="0.25">
      <c r="A316">
        <v>2800063778</v>
      </c>
      <c r="B316">
        <v>271151</v>
      </c>
      <c r="C316" t="s">
        <v>15</v>
      </c>
      <c r="D316">
        <v>1940</v>
      </c>
      <c r="E316" t="s">
        <v>17</v>
      </c>
      <c r="F316" s="3">
        <v>44131</v>
      </c>
      <c r="G316" s="2" t="str">
        <f t="shared" si="12"/>
        <v>October</v>
      </c>
      <c r="H316" s="2" t="str">
        <f t="shared" si="13"/>
        <v>Week 5</v>
      </c>
      <c r="I316" s="2" t="str">
        <f t="shared" si="14"/>
        <v>Quarter 4</v>
      </c>
    </row>
    <row r="317" spans="1:9" x14ac:dyDescent="0.25">
      <c r="A317">
        <v>2800063862</v>
      </c>
      <c r="B317">
        <v>271351</v>
      </c>
      <c r="C317" t="s">
        <v>15</v>
      </c>
      <c r="D317">
        <v>1000</v>
      </c>
      <c r="E317" t="s">
        <v>23</v>
      </c>
      <c r="F317" s="3">
        <v>44131</v>
      </c>
      <c r="G317" s="2" t="str">
        <f t="shared" si="12"/>
        <v>October</v>
      </c>
      <c r="H317" s="2" t="str">
        <f t="shared" si="13"/>
        <v>Week 5</v>
      </c>
      <c r="I317" s="2" t="str">
        <f t="shared" si="14"/>
        <v>Quarter 4</v>
      </c>
    </row>
    <row r="318" spans="1:9" x14ac:dyDescent="0.25">
      <c r="A318">
        <v>2800063636</v>
      </c>
      <c r="B318">
        <v>273114</v>
      </c>
      <c r="C318" t="s">
        <v>22</v>
      </c>
      <c r="D318">
        <v>12.4</v>
      </c>
      <c r="F318" s="3">
        <v>44131</v>
      </c>
      <c r="G318" s="2" t="str">
        <f t="shared" si="12"/>
        <v>October</v>
      </c>
      <c r="H318" s="2" t="str">
        <f t="shared" si="13"/>
        <v>Week 5</v>
      </c>
      <c r="I318" s="2" t="str">
        <f t="shared" si="14"/>
        <v>Quarter 4</v>
      </c>
    </row>
    <row r="319" spans="1:9" x14ac:dyDescent="0.25">
      <c r="A319">
        <v>2800063800</v>
      </c>
      <c r="B319">
        <v>273118</v>
      </c>
      <c r="C319" t="s">
        <v>11</v>
      </c>
      <c r="D319">
        <v>2289.65</v>
      </c>
      <c r="F319" s="3">
        <v>44131</v>
      </c>
      <c r="G319" s="2" t="str">
        <f t="shared" si="12"/>
        <v>October</v>
      </c>
      <c r="H319" s="2" t="str">
        <f t="shared" si="13"/>
        <v>Week 5</v>
      </c>
      <c r="I319" s="2" t="str">
        <f t="shared" si="14"/>
        <v>Quarter 4</v>
      </c>
    </row>
    <row r="320" spans="1:9" x14ac:dyDescent="0.25">
      <c r="A320">
        <v>2800063769</v>
      </c>
      <c r="B320">
        <v>271151</v>
      </c>
      <c r="C320" t="s">
        <v>15</v>
      </c>
      <c r="D320">
        <v>5000</v>
      </c>
      <c r="E320" t="s">
        <v>17</v>
      </c>
      <c r="F320" s="3">
        <v>44131</v>
      </c>
      <c r="G320" s="2" t="str">
        <f t="shared" si="12"/>
        <v>October</v>
      </c>
      <c r="H320" s="2" t="str">
        <f t="shared" si="13"/>
        <v>Week 5</v>
      </c>
      <c r="I320" s="2" t="str">
        <f t="shared" si="14"/>
        <v>Quarter 4</v>
      </c>
    </row>
    <row r="321" spans="1:9" x14ac:dyDescent="0.25">
      <c r="A321">
        <v>2800063770</v>
      </c>
      <c r="B321">
        <v>271151</v>
      </c>
      <c r="C321" t="s">
        <v>15</v>
      </c>
      <c r="D321">
        <v>8810</v>
      </c>
      <c r="E321" t="s">
        <v>17</v>
      </c>
      <c r="F321" s="3">
        <v>44131</v>
      </c>
      <c r="G321" s="2" t="str">
        <f t="shared" si="12"/>
        <v>October</v>
      </c>
      <c r="H321" s="2" t="str">
        <f t="shared" si="13"/>
        <v>Week 5</v>
      </c>
      <c r="I321" s="2" t="str">
        <f t="shared" si="14"/>
        <v>Quarter 4</v>
      </c>
    </row>
    <row r="322" spans="1:9" x14ac:dyDescent="0.25">
      <c r="A322">
        <v>2800063773</v>
      </c>
      <c r="B322">
        <v>271151</v>
      </c>
      <c r="C322" t="s">
        <v>15</v>
      </c>
      <c r="D322">
        <v>5000</v>
      </c>
      <c r="E322" t="s">
        <v>17</v>
      </c>
      <c r="F322" s="3">
        <v>44131</v>
      </c>
      <c r="G322" s="2" t="str">
        <f t="shared" si="12"/>
        <v>October</v>
      </c>
      <c r="H322" s="2" t="str">
        <f t="shared" si="13"/>
        <v>Week 5</v>
      </c>
      <c r="I322" s="2" t="str">
        <f t="shared" si="14"/>
        <v>Quarter 4</v>
      </c>
    </row>
    <row r="323" spans="1:9" x14ac:dyDescent="0.25">
      <c r="A323">
        <v>2800063771</v>
      </c>
      <c r="B323">
        <v>271351</v>
      </c>
      <c r="C323" t="s">
        <v>15</v>
      </c>
      <c r="D323">
        <v>9300</v>
      </c>
      <c r="E323" t="s">
        <v>17</v>
      </c>
      <c r="F323" s="3">
        <v>44131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5</v>
      </c>
      <c r="I323" s="2" t="str">
        <f t="shared" ref="I323:I386" si="17">"Quarter " &amp; ROUNDUP((MONTH(F323))/3,0)</f>
        <v>Quarter 4</v>
      </c>
    </row>
    <row r="324" spans="1:9" x14ac:dyDescent="0.25">
      <c r="A324">
        <v>2800063772</v>
      </c>
      <c r="B324">
        <v>271351</v>
      </c>
      <c r="C324" t="s">
        <v>15</v>
      </c>
      <c r="D324">
        <v>820</v>
      </c>
      <c r="E324" t="s">
        <v>17</v>
      </c>
      <c r="F324" s="3">
        <v>44131</v>
      </c>
      <c r="G324" s="2" t="str">
        <f t="shared" si="15"/>
        <v>October</v>
      </c>
      <c r="H324" s="2" t="str">
        <f t="shared" si="16"/>
        <v>Week 5</v>
      </c>
      <c r="I324" s="2" t="str">
        <f t="shared" si="17"/>
        <v>Quarter 4</v>
      </c>
    </row>
    <row r="325" spans="1:9" x14ac:dyDescent="0.25">
      <c r="A325">
        <v>2800063774</v>
      </c>
      <c r="B325">
        <v>271351</v>
      </c>
      <c r="C325" t="s">
        <v>15</v>
      </c>
      <c r="D325">
        <v>10000</v>
      </c>
      <c r="E325" t="s">
        <v>17</v>
      </c>
      <c r="F325" s="3">
        <v>44131</v>
      </c>
      <c r="G325" s="2" t="str">
        <f t="shared" si="15"/>
        <v>October</v>
      </c>
      <c r="H325" s="2" t="str">
        <f t="shared" si="16"/>
        <v>Week 5</v>
      </c>
      <c r="I325" s="2" t="str">
        <f t="shared" si="17"/>
        <v>Quarter 4</v>
      </c>
    </row>
    <row r="326" spans="1:9" x14ac:dyDescent="0.25">
      <c r="A326">
        <v>2800063843</v>
      </c>
      <c r="B326">
        <v>271351</v>
      </c>
      <c r="C326" t="s">
        <v>15</v>
      </c>
      <c r="D326">
        <v>27.85</v>
      </c>
      <c r="E326" t="s">
        <v>19</v>
      </c>
      <c r="F326" s="3">
        <v>44131</v>
      </c>
      <c r="G326" s="2" t="str">
        <f t="shared" si="15"/>
        <v>October</v>
      </c>
      <c r="H326" s="2" t="str">
        <f t="shared" si="16"/>
        <v>Week 5</v>
      </c>
      <c r="I326" s="2" t="str">
        <f t="shared" si="17"/>
        <v>Quarter 4</v>
      </c>
    </row>
    <row r="327" spans="1:9" x14ac:dyDescent="0.25">
      <c r="A327">
        <v>2800063844</v>
      </c>
      <c r="B327">
        <v>271351</v>
      </c>
      <c r="C327" t="s">
        <v>15</v>
      </c>
      <c r="D327">
        <v>102.3</v>
      </c>
      <c r="E327" t="s">
        <v>19</v>
      </c>
      <c r="F327" s="3">
        <v>44131</v>
      </c>
      <c r="G327" s="2" t="str">
        <f t="shared" si="15"/>
        <v>October</v>
      </c>
      <c r="H327" s="2" t="str">
        <f t="shared" si="16"/>
        <v>Week 5</v>
      </c>
      <c r="I327" s="2" t="str">
        <f t="shared" si="17"/>
        <v>Quarter 4</v>
      </c>
    </row>
    <row r="328" spans="1:9" x14ac:dyDescent="0.25">
      <c r="A328">
        <v>2800063853</v>
      </c>
      <c r="B328">
        <v>271351</v>
      </c>
      <c r="C328" t="s">
        <v>15</v>
      </c>
      <c r="D328">
        <v>195.85</v>
      </c>
      <c r="E328" t="s">
        <v>19</v>
      </c>
      <c r="F328" s="3">
        <v>44131</v>
      </c>
      <c r="G328" s="2" t="str">
        <f t="shared" si="15"/>
        <v>October</v>
      </c>
      <c r="H328" s="2" t="str">
        <f t="shared" si="16"/>
        <v>Week 5</v>
      </c>
      <c r="I328" s="2" t="str">
        <f t="shared" si="17"/>
        <v>Quarter 4</v>
      </c>
    </row>
    <row r="329" spans="1:9" x14ac:dyDescent="0.25">
      <c r="A329">
        <v>2800063885</v>
      </c>
      <c r="B329">
        <v>273118</v>
      </c>
      <c r="C329" t="s">
        <v>21</v>
      </c>
      <c r="D329">
        <v>26.5</v>
      </c>
      <c r="F329" s="3">
        <v>44131</v>
      </c>
      <c r="G329" s="2" t="str">
        <f t="shared" si="15"/>
        <v>October</v>
      </c>
      <c r="H329" s="2" t="str">
        <f t="shared" si="16"/>
        <v>Week 5</v>
      </c>
      <c r="I329" s="2" t="str">
        <f t="shared" si="17"/>
        <v>Quarter 4</v>
      </c>
    </row>
    <row r="330" spans="1:9" x14ac:dyDescent="0.25">
      <c r="A330">
        <v>2800063794</v>
      </c>
      <c r="B330">
        <v>271151</v>
      </c>
      <c r="C330" t="s">
        <v>11</v>
      </c>
      <c r="D330">
        <v>16770</v>
      </c>
      <c r="F330" s="3">
        <v>44131</v>
      </c>
      <c r="G330" s="2" t="str">
        <f t="shared" si="15"/>
        <v>October</v>
      </c>
      <c r="H330" s="2" t="str">
        <f t="shared" si="16"/>
        <v>Week 5</v>
      </c>
      <c r="I330" s="2" t="str">
        <f t="shared" si="17"/>
        <v>Quarter 4</v>
      </c>
    </row>
    <row r="331" spans="1:9" x14ac:dyDescent="0.25">
      <c r="A331">
        <v>2800063795</v>
      </c>
      <c r="B331">
        <v>271151</v>
      </c>
      <c r="C331" t="s">
        <v>11</v>
      </c>
      <c r="D331">
        <v>7260</v>
      </c>
      <c r="F331" s="3">
        <v>44131</v>
      </c>
      <c r="G331" s="2" t="str">
        <f t="shared" si="15"/>
        <v>October</v>
      </c>
      <c r="H331" s="2" t="str">
        <f t="shared" si="16"/>
        <v>Week 5</v>
      </c>
      <c r="I331" s="2" t="str">
        <f t="shared" si="17"/>
        <v>Quarter 4</v>
      </c>
    </row>
    <row r="332" spans="1:9" x14ac:dyDescent="0.25">
      <c r="A332">
        <v>2800063796</v>
      </c>
      <c r="B332">
        <v>271151</v>
      </c>
      <c r="C332" t="s">
        <v>11</v>
      </c>
      <c r="D332">
        <v>15972</v>
      </c>
      <c r="F332" s="3">
        <v>44131</v>
      </c>
      <c r="G332" s="2" t="str">
        <f t="shared" si="15"/>
        <v>October</v>
      </c>
      <c r="H332" s="2" t="str">
        <f t="shared" si="16"/>
        <v>Week 5</v>
      </c>
      <c r="I332" s="2" t="str">
        <f t="shared" si="17"/>
        <v>Quarter 4</v>
      </c>
    </row>
    <row r="333" spans="1:9" x14ac:dyDescent="0.25">
      <c r="A333">
        <v>2800063871</v>
      </c>
      <c r="B333">
        <v>271151</v>
      </c>
      <c r="C333" t="s">
        <v>11</v>
      </c>
      <c r="D333">
        <v>2500</v>
      </c>
      <c r="F333" s="3">
        <v>44131</v>
      </c>
      <c r="G333" s="2" t="str">
        <f t="shared" si="15"/>
        <v>October</v>
      </c>
      <c r="H333" s="2" t="str">
        <f t="shared" si="16"/>
        <v>Week 5</v>
      </c>
      <c r="I333" s="2" t="str">
        <f t="shared" si="17"/>
        <v>Quarter 4</v>
      </c>
    </row>
    <row r="334" spans="1:9" x14ac:dyDescent="0.25">
      <c r="A334">
        <v>2800063872</v>
      </c>
      <c r="B334">
        <v>271151</v>
      </c>
      <c r="C334" t="s">
        <v>11</v>
      </c>
      <c r="D334">
        <v>2500</v>
      </c>
      <c r="F334" s="3">
        <v>44131</v>
      </c>
      <c r="G334" s="2" t="str">
        <f t="shared" si="15"/>
        <v>October</v>
      </c>
      <c r="H334" s="2" t="str">
        <f t="shared" si="16"/>
        <v>Week 5</v>
      </c>
      <c r="I334" s="2" t="str">
        <f t="shared" si="17"/>
        <v>Quarter 4</v>
      </c>
    </row>
    <row r="335" spans="1:9" x14ac:dyDescent="0.25">
      <c r="A335">
        <v>2800063792</v>
      </c>
      <c r="B335">
        <v>271351</v>
      </c>
      <c r="C335" t="s">
        <v>11</v>
      </c>
      <c r="D335">
        <v>1480.5</v>
      </c>
      <c r="F335" s="3">
        <v>44131</v>
      </c>
      <c r="G335" s="2" t="str">
        <f t="shared" si="15"/>
        <v>October</v>
      </c>
      <c r="H335" s="2" t="str">
        <f t="shared" si="16"/>
        <v>Week 5</v>
      </c>
      <c r="I335" s="2" t="str">
        <f t="shared" si="17"/>
        <v>Quarter 4</v>
      </c>
    </row>
    <row r="336" spans="1:9" x14ac:dyDescent="0.25">
      <c r="A336">
        <v>2800063736</v>
      </c>
      <c r="B336">
        <v>271351</v>
      </c>
      <c r="C336" t="s">
        <v>15</v>
      </c>
      <c r="D336">
        <v>1980</v>
      </c>
      <c r="E336" t="s">
        <v>24</v>
      </c>
      <c r="F336" s="3">
        <v>44131</v>
      </c>
      <c r="G336" s="2" t="str">
        <f t="shared" si="15"/>
        <v>October</v>
      </c>
      <c r="H336" s="2" t="str">
        <f t="shared" si="16"/>
        <v>Week 5</v>
      </c>
      <c r="I336" s="2" t="str">
        <f t="shared" si="17"/>
        <v>Quarter 4</v>
      </c>
    </row>
    <row r="337" spans="1:9" x14ac:dyDescent="0.25">
      <c r="A337">
        <v>2800063737</v>
      </c>
      <c r="B337">
        <v>271351</v>
      </c>
      <c r="C337" t="s">
        <v>15</v>
      </c>
      <c r="D337">
        <v>297.60000000000002</v>
      </c>
      <c r="E337" t="s">
        <v>24</v>
      </c>
      <c r="F337" s="3">
        <v>44131</v>
      </c>
      <c r="G337" s="2" t="str">
        <f t="shared" si="15"/>
        <v>October</v>
      </c>
      <c r="H337" s="2" t="str">
        <f t="shared" si="16"/>
        <v>Week 5</v>
      </c>
      <c r="I337" s="2" t="str">
        <f t="shared" si="17"/>
        <v>Quarter 4</v>
      </c>
    </row>
    <row r="338" spans="1:9" x14ac:dyDescent="0.25">
      <c r="A338">
        <v>2800063738</v>
      </c>
      <c r="B338">
        <v>271351</v>
      </c>
      <c r="C338" t="s">
        <v>15</v>
      </c>
      <c r="D338">
        <v>200</v>
      </c>
      <c r="E338" t="s">
        <v>24</v>
      </c>
      <c r="F338" s="3">
        <v>44131</v>
      </c>
      <c r="G338" s="2" t="str">
        <f t="shared" si="15"/>
        <v>October</v>
      </c>
      <c r="H338" s="2" t="str">
        <f t="shared" si="16"/>
        <v>Week 5</v>
      </c>
      <c r="I338" s="2" t="str">
        <f t="shared" si="17"/>
        <v>Quarter 4</v>
      </c>
    </row>
    <row r="339" spans="1:9" x14ac:dyDescent="0.25">
      <c r="A339">
        <v>2800063567</v>
      </c>
      <c r="B339">
        <v>271351</v>
      </c>
      <c r="C339" t="s">
        <v>11</v>
      </c>
      <c r="D339">
        <v>5.55</v>
      </c>
      <c r="F339" s="3">
        <v>44131</v>
      </c>
      <c r="G339" s="2" t="str">
        <f t="shared" si="15"/>
        <v>October</v>
      </c>
      <c r="H339" s="2" t="str">
        <f t="shared" si="16"/>
        <v>Week 5</v>
      </c>
      <c r="I339" s="2" t="str">
        <f t="shared" si="17"/>
        <v>Quarter 4</v>
      </c>
    </row>
    <row r="340" spans="1:9" x14ac:dyDescent="0.25">
      <c r="A340">
        <v>2800063741</v>
      </c>
      <c r="B340">
        <v>271351</v>
      </c>
      <c r="C340" t="s">
        <v>15</v>
      </c>
      <c r="D340">
        <v>390</v>
      </c>
      <c r="E340" t="s">
        <v>25</v>
      </c>
      <c r="F340" s="3">
        <v>44131</v>
      </c>
      <c r="G340" s="2" t="str">
        <f t="shared" si="15"/>
        <v>October</v>
      </c>
      <c r="H340" s="2" t="str">
        <f t="shared" si="16"/>
        <v>Week 5</v>
      </c>
      <c r="I340" s="2" t="str">
        <f t="shared" si="17"/>
        <v>Quarter 4</v>
      </c>
    </row>
    <row r="341" spans="1:9" x14ac:dyDescent="0.25">
      <c r="A341">
        <v>2800063857</v>
      </c>
      <c r="B341">
        <v>271351</v>
      </c>
      <c r="C341" t="s">
        <v>15</v>
      </c>
      <c r="D341">
        <v>880</v>
      </c>
      <c r="E341" t="s">
        <v>23</v>
      </c>
      <c r="F341" s="3">
        <v>44131</v>
      </c>
      <c r="G341" s="2" t="str">
        <f t="shared" si="15"/>
        <v>October</v>
      </c>
      <c r="H341" s="2" t="str">
        <f t="shared" si="16"/>
        <v>Week 5</v>
      </c>
      <c r="I341" s="2" t="str">
        <f t="shared" si="17"/>
        <v>Quarter 4</v>
      </c>
    </row>
    <row r="342" spans="1:9" x14ac:dyDescent="0.25">
      <c r="A342">
        <v>2800063858</v>
      </c>
      <c r="B342">
        <v>271351</v>
      </c>
      <c r="C342" t="s">
        <v>15</v>
      </c>
      <c r="D342">
        <v>150</v>
      </c>
      <c r="E342" t="s">
        <v>23</v>
      </c>
      <c r="F342" s="3">
        <v>44131</v>
      </c>
      <c r="G342" s="2" t="str">
        <f t="shared" si="15"/>
        <v>October</v>
      </c>
      <c r="H342" s="2" t="str">
        <f t="shared" si="16"/>
        <v>Week 5</v>
      </c>
      <c r="I342" s="2" t="str">
        <f t="shared" si="17"/>
        <v>Quarter 4</v>
      </c>
    </row>
    <row r="343" spans="1:9" x14ac:dyDescent="0.25">
      <c r="A343">
        <v>2800063746</v>
      </c>
      <c r="B343">
        <v>273114</v>
      </c>
      <c r="C343" t="s">
        <v>22</v>
      </c>
      <c r="D343">
        <v>11.2</v>
      </c>
      <c r="F343" s="3">
        <v>44131</v>
      </c>
      <c r="G343" s="2" t="str">
        <f t="shared" si="15"/>
        <v>October</v>
      </c>
      <c r="H343" s="2" t="str">
        <f t="shared" si="16"/>
        <v>Week 5</v>
      </c>
      <c r="I343" s="2" t="str">
        <f t="shared" si="17"/>
        <v>Quarter 4</v>
      </c>
    </row>
    <row r="344" spans="1:9" x14ac:dyDescent="0.25">
      <c r="A344">
        <v>2800063852</v>
      </c>
      <c r="B344">
        <v>271351</v>
      </c>
      <c r="C344" t="s">
        <v>15</v>
      </c>
      <c r="D344">
        <v>6.3</v>
      </c>
      <c r="E344" t="s">
        <v>19</v>
      </c>
      <c r="F344" s="3">
        <v>44131</v>
      </c>
      <c r="G344" s="2" t="str">
        <f t="shared" si="15"/>
        <v>October</v>
      </c>
      <c r="H344" s="2" t="str">
        <f t="shared" si="16"/>
        <v>Week 5</v>
      </c>
      <c r="I344" s="2" t="str">
        <f t="shared" si="17"/>
        <v>Quarter 4</v>
      </c>
    </row>
    <row r="345" spans="1:9" x14ac:dyDescent="0.25">
      <c r="A345">
        <v>2800063874</v>
      </c>
      <c r="B345">
        <v>271151</v>
      </c>
      <c r="C345" t="s">
        <v>11</v>
      </c>
      <c r="D345">
        <v>9987</v>
      </c>
      <c r="F345" s="3">
        <v>44131</v>
      </c>
      <c r="G345" s="2" t="str">
        <f t="shared" si="15"/>
        <v>October</v>
      </c>
      <c r="H345" s="2" t="str">
        <f t="shared" si="16"/>
        <v>Week 5</v>
      </c>
      <c r="I345" s="2" t="str">
        <f t="shared" si="17"/>
        <v>Quarter 4</v>
      </c>
    </row>
    <row r="346" spans="1:9" x14ac:dyDescent="0.25">
      <c r="A346">
        <v>2800063869</v>
      </c>
      <c r="B346">
        <v>271351</v>
      </c>
      <c r="C346" t="s">
        <v>11</v>
      </c>
      <c r="D346">
        <v>12900</v>
      </c>
      <c r="F346" s="3">
        <v>44131</v>
      </c>
      <c r="G346" s="2" t="str">
        <f t="shared" si="15"/>
        <v>October</v>
      </c>
      <c r="H346" s="2" t="str">
        <f t="shared" si="16"/>
        <v>Week 5</v>
      </c>
      <c r="I346" s="2" t="str">
        <f t="shared" si="17"/>
        <v>Quarter 4</v>
      </c>
    </row>
    <row r="347" spans="1:9" x14ac:dyDescent="0.25">
      <c r="A347">
        <v>2800063870</v>
      </c>
      <c r="B347">
        <v>271351</v>
      </c>
      <c r="C347" t="s">
        <v>11</v>
      </c>
      <c r="D347">
        <v>12000</v>
      </c>
      <c r="F347" s="3">
        <v>44131</v>
      </c>
      <c r="G347" s="2" t="str">
        <f t="shared" si="15"/>
        <v>October</v>
      </c>
      <c r="H347" s="2" t="str">
        <f t="shared" si="16"/>
        <v>Week 5</v>
      </c>
      <c r="I347" s="2" t="str">
        <f t="shared" si="17"/>
        <v>Quarter 4</v>
      </c>
    </row>
    <row r="348" spans="1:9" x14ac:dyDescent="0.25">
      <c r="A348">
        <v>2800063735</v>
      </c>
      <c r="B348">
        <v>271351</v>
      </c>
      <c r="C348" t="s">
        <v>15</v>
      </c>
      <c r="D348">
        <v>6550</v>
      </c>
      <c r="E348" t="s">
        <v>24</v>
      </c>
      <c r="F348" s="3">
        <v>44131</v>
      </c>
      <c r="G348" s="2" t="str">
        <f t="shared" si="15"/>
        <v>October</v>
      </c>
      <c r="H348" s="2" t="str">
        <f t="shared" si="16"/>
        <v>Week 5</v>
      </c>
      <c r="I348" s="2" t="str">
        <f t="shared" si="17"/>
        <v>Quarter 4</v>
      </c>
    </row>
    <row r="349" spans="1:9" x14ac:dyDescent="0.25">
      <c r="A349">
        <v>2800063873</v>
      </c>
      <c r="B349">
        <v>271351</v>
      </c>
      <c r="C349" t="s">
        <v>11</v>
      </c>
      <c r="D349">
        <v>6950</v>
      </c>
      <c r="F349" s="3">
        <v>44131</v>
      </c>
      <c r="G349" s="2" t="str">
        <f t="shared" si="15"/>
        <v>October</v>
      </c>
      <c r="H349" s="2" t="str">
        <f t="shared" si="16"/>
        <v>Week 5</v>
      </c>
      <c r="I349" s="2" t="str">
        <f t="shared" si="17"/>
        <v>Quarter 4</v>
      </c>
    </row>
    <row r="350" spans="1:9" x14ac:dyDescent="0.25">
      <c r="A350">
        <v>2800063855</v>
      </c>
      <c r="B350">
        <v>271351</v>
      </c>
      <c r="C350" t="s">
        <v>15</v>
      </c>
      <c r="D350">
        <v>290</v>
      </c>
      <c r="E350" t="s">
        <v>23</v>
      </c>
      <c r="F350" s="3">
        <v>44131</v>
      </c>
      <c r="G350" s="2" t="str">
        <f t="shared" si="15"/>
        <v>October</v>
      </c>
      <c r="H350" s="2" t="str">
        <f t="shared" si="16"/>
        <v>Week 5</v>
      </c>
      <c r="I350" s="2" t="str">
        <f t="shared" si="17"/>
        <v>Quarter 4</v>
      </c>
    </row>
    <row r="351" spans="1:9" x14ac:dyDescent="0.25">
      <c r="A351">
        <v>2800063672</v>
      </c>
      <c r="B351">
        <v>273114</v>
      </c>
      <c r="C351" t="s">
        <v>15</v>
      </c>
      <c r="D351">
        <v>1980</v>
      </c>
      <c r="E351" t="s">
        <v>16</v>
      </c>
      <c r="F351" s="3">
        <v>44131</v>
      </c>
      <c r="G351" s="2" t="str">
        <f t="shared" si="15"/>
        <v>October</v>
      </c>
      <c r="H351" s="2" t="str">
        <f t="shared" si="16"/>
        <v>Week 5</v>
      </c>
      <c r="I351" s="2" t="str">
        <f t="shared" si="17"/>
        <v>Quarter 4</v>
      </c>
    </row>
    <row r="352" spans="1:9" x14ac:dyDescent="0.25">
      <c r="A352">
        <v>2800063840</v>
      </c>
      <c r="B352">
        <v>271351</v>
      </c>
      <c r="C352" t="s">
        <v>15</v>
      </c>
      <c r="D352">
        <v>22.25</v>
      </c>
      <c r="E352" t="s">
        <v>19</v>
      </c>
      <c r="F352" s="3">
        <v>44131</v>
      </c>
      <c r="G352" s="2" t="str">
        <f t="shared" si="15"/>
        <v>October</v>
      </c>
      <c r="H352" s="2" t="str">
        <f t="shared" si="16"/>
        <v>Week 5</v>
      </c>
      <c r="I352" s="2" t="str">
        <f t="shared" si="17"/>
        <v>Quarter 4</v>
      </c>
    </row>
    <row r="353" spans="1:9" x14ac:dyDescent="0.25">
      <c r="A353">
        <v>2800063886</v>
      </c>
      <c r="B353">
        <v>271351</v>
      </c>
      <c r="C353" t="s">
        <v>21</v>
      </c>
      <c r="D353">
        <v>314.05</v>
      </c>
      <c r="F353" s="3">
        <v>44131</v>
      </c>
      <c r="G353" s="2" t="str">
        <f t="shared" si="15"/>
        <v>October</v>
      </c>
      <c r="H353" s="2" t="str">
        <f t="shared" si="16"/>
        <v>Week 5</v>
      </c>
      <c r="I353" s="2" t="str">
        <f t="shared" si="17"/>
        <v>Quarter 4</v>
      </c>
    </row>
    <row r="354" spans="1:9" x14ac:dyDescent="0.25">
      <c r="A354">
        <v>2800063883</v>
      </c>
      <c r="B354">
        <v>273114</v>
      </c>
      <c r="C354" t="s">
        <v>12</v>
      </c>
      <c r="D354">
        <v>379.5</v>
      </c>
      <c r="F354" s="3">
        <v>44131</v>
      </c>
      <c r="G354" s="2" t="str">
        <f t="shared" si="15"/>
        <v>October</v>
      </c>
      <c r="H354" s="2" t="str">
        <f t="shared" si="16"/>
        <v>Week 5</v>
      </c>
      <c r="I354" s="2" t="str">
        <f t="shared" si="17"/>
        <v>Quarter 4</v>
      </c>
    </row>
    <row r="355" spans="1:9" x14ac:dyDescent="0.25">
      <c r="A355">
        <v>2800063863</v>
      </c>
      <c r="B355">
        <v>271351</v>
      </c>
      <c r="C355" t="s">
        <v>15</v>
      </c>
      <c r="D355">
        <v>1000</v>
      </c>
      <c r="E355" t="s">
        <v>23</v>
      </c>
      <c r="F355" s="3">
        <v>44131</v>
      </c>
      <c r="G355" s="2" t="str">
        <f t="shared" si="15"/>
        <v>October</v>
      </c>
      <c r="H355" s="2" t="str">
        <f t="shared" si="16"/>
        <v>Week 5</v>
      </c>
      <c r="I355" s="2" t="str">
        <f t="shared" si="17"/>
        <v>Quarter 4</v>
      </c>
    </row>
    <row r="356" spans="1:9" x14ac:dyDescent="0.25">
      <c r="A356">
        <v>2800063864</v>
      </c>
      <c r="B356">
        <v>271351</v>
      </c>
      <c r="C356" t="s">
        <v>15</v>
      </c>
      <c r="D356">
        <v>98.8</v>
      </c>
      <c r="E356" t="s">
        <v>23</v>
      </c>
      <c r="F356" s="3">
        <v>44131</v>
      </c>
      <c r="G356" s="2" t="str">
        <f t="shared" si="15"/>
        <v>October</v>
      </c>
      <c r="H356" s="2" t="str">
        <f t="shared" si="16"/>
        <v>Week 5</v>
      </c>
      <c r="I356" s="2" t="str">
        <f t="shared" si="17"/>
        <v>Quarter 4</v>
      </c>
    </row>
    <row r="357" spans="1:9" x14ac:dyDescent="0.25">
      <c r="A357">
        <v>2800063791</v>
      </c>
      <c r="B357">
        <v>271351</v>
      </c>
      <c r="C357" t="s">
        <v>11</v>
      </c>
      <c r="D357">
        <v>1058.75</v>
      </c>
      <c r="F357" s="3">
        <v>44131</v>
      </c>
      <c r="G357" s="2" t="str">
        <f t="shared" si="15"/>
        <v>October</v>
      </c>
      <c r="H357" s="2" t="str">
        <f t="shared" si="16"/>
        <v>Week 5</v>
      </c>
      <c r="I357" s="2" t="str">
        <f t="shared" si="17"/>
        <v>Quarter 4</v>
      </c>
    </row>
    <row r="358" spans="1:9" x14ac:dyDescent="0.25">
      <c r="A358">
        <v>2800063848</v>
      </c>
      <c r="B358">
        <v>271351</v>
      </c>
      <c r="C358" t="s">
        <v>15</v>
      </c>
      <c r="D358">
        <v>74.2</v>
      </c>
      <c r="E358" t="s">
        <v>19</v>
      </c>
      <c r="F358" s="3">
        <v>44131</v>
      </c>
      <c r="G358" s="2" t="str">
        <f t="shared" si="15"/>
        <v>October</v>
      </c>
      <c r="H358" s="2" t="str">
        <f t="shared" si="16"/>
        <v>Week 5</v>
      </c>
      <c r="I358" s="2" t="str">
        <f t="shared" si="17"/>
        <v>Quarter 4</v>
      </c>
    </row>
    <row r="359" spans="1:9" x14ac:dyDescent="0.25">
      <c r="A359">
        <v>2800063865</v>
      </c>
      <c r="B359">
        <v>271351</v>
      </c>
      <c r="C359" t="s">
        <v>15</v>
      </c>
      <c r="D359">
        <v>1737.1</v>
      </c>
      <c r="E359" t="s">
        <v>23</v>
      </c>
      <c r="F359" s="3">
        <v>44131</v>
      </c>
      <c r="G359" s="2" t="str">
        <f t="shared" si="15"/>
        <v>October</v>
      </c>
      <c r="H359" s="2" t="str">
        <f t="shared" si="16"/>
        <v>Week 5</v>
      </c>
      <c r="I359" s="2" t="str">
        <f t="shared" si="17"/>
        <v>Quarter 4</v>
      </c>
    </row>
    <row r="360" spans="1:9" x14ac:dyDescent="0.25">
      <c r="A360">
        <v>2800063887</v>
      </c>
      <c r="B360">
        <v>271351</v>
      </c>
      <c r="C360" t="s">
        <v>21</v>
      </c>
      <c r="D360">
        <v>5550</v>
      </c>
      <c r="F360" s="3">
        <v>44131</v>
      </c>
      <c r="G360" s="2" t="str">
        <f t="shared" si="15"/>
        <v>October</v>
      </c>
      <c r="H360" s="2" t="str">
        <f t="shared" si="16"/>
        <v>Week 5</v>
      </c>
      <c r="I360" s="2" t="str">
        <f t="shared" si="17"/>
        <v>Quarter 4</v>
      </c>
    </row>
    <row r="361" spans="1:9" x14ac:dyDescent="0.25">
      <c r="A361">
        <v>2800063612</v>
      </c>
      <c r="B361">
        <v>271151</v>
      </c>
      <c r="C361" t="s">
        <v>11</v>
      </c>
      <c r="D361">
        <v>1550</v>
      </c>
      <c r="F361" s="3">
        <v>44131</v>
      </c>
      <c r="G361" s="2" t="str">
        <f t="shared" si="15"/>
        <v>October</v>
      </c>
      <c r="H361" s="2" t="str">
        <f t="shared" si="16"/>
        <v>Week 5</v>
      </c>
      <c r="I361" s="2" t="str">
        <f t="shared" si="17"/>
        <v>Quarter 4</v>
      </c>
    </row>
    <row r="362" spans="1:9" x14ac:dyDescent="0.25">
      <c r="A362">
        <v>2800063739</v>
      </c>
      <c r="B362">
        <v>271151</v>
      </c>
      <c r="C362" t="s">
        <v>15</v>
      </c>
      <c r="D362">
        <v>850</v>
      </c>
      <c r="E362" t="s">
        <v>24</v>
      </c>
      <c r="F362" s="3">
        <v>44131</v>
      </c>
      <c r="G362" s="2" t="str">
        <f t="shared" si="15"/>
        <v>October</v>
      </c>
      <c r="H362" s="2" t="str">
        <f t="shared" si="16"/>
        <v>Week 5</v>
      </c>
      <c r="I362" s="2" t="str">
        <f t="shared" si="17"/>
        <v>Quarter 4</v>
      </c>
    </row>
    <row r="363" spans="1:9" x14ac:dyDescent="0.25">
      <c r="A363">
        <v>2800063856</v>
      </c>
      <c r="B363">
        <v>271351</v>
      </c>
      <c r="C363" t="s">
        <v>15</v>
      </c>
      <c r="D363">
        <v>650</v>
      </c>
      <c r="E363" t="s">
        <v>23</v>
      </c>
      <c r="F363" s="3">
        <v>44131</v>
      </c>
      <c r="G363" s="2" t="str">
        <f t="shared" si="15"/>
        <v>October</v>
      </c>
      <c r="H363" s="2" t="str">
        <f t="shared" si="16"/>
        <v>Week 5</v>
      </c>
      <c r="I363" s="2" t="str">
        <f t="shared" si="17"/>
        <v>Quarter 4</v>
      </c>
    </row>
    <row r="364" spans="1:9" x14ac:dyDescent="0.25">
      <c r="A364">
        <v>2800063866</v>
      </c>
      <c r="B364">
        <v>271351</v>
      </c>
      <c r="C364" t="s">
        <v>15</v>
      </c>
      <c r="D364">
        <v>3000</v>
      </c>
      <c r="E364" t="s">
        <v>23</v>
      </c>
      <c r="F364" s="3">
        <v>44131</v>
      </c>
      <c r="G364" s="2" t="str">
        <f t="shared" si="15"/>
        <v>October</v>
      </c>
      <c r="H364" s="2" t="str">
        <f t="shared" si="16"/>
        <v>Week 5</v>
      </c>
      <c r="I364" s="2" t="str">
        <f t="shared" si="17"/>
        <v>Quarter 4</v>
      </c>
    </row>
    <row r="365" spans="1:9" x14ac:dyDescent="0.25">
      <c r="A365">
        <v>2800063882</v>
      </c>
      <c r="B365">
        <v>271151</v>
      </c>
      <c r="C365" t="s">
        <v>11</v>
      </c>
      <c r="D365">
        <v>7460</v>
      </c>
      <c r="F365" s="3">
        <v>44131</v>
      </c>
      <c r="G365" s="2" t="str">
        <f t="shared" si="15"/>
        <v>October</v>
      </c>
      <c r="H365" s="2" t="str">
        <f t="shared" si="16"/>
        <v>Week 5</v>
      </c>
      <c r="I365" s="2" t="str">
        <f t="shared" si="17"/>
        <v>Quarter 4</v>
      </c>
    </row>
    <row r="366" spans="1:9" x14ac:dyDescent="0.25">
      <c r="A366">
        <v>2800063790</v>
      </c>
      <c r="B366">
        <v>271351</v>
      </c>
      <c r="C366" t="s">
        <v>11</v>
      </c>
      <c r="D366">
        <v>1774</v>
      </c>
      <c r="F366" s="3">
        <v>44131</v>
      </c>
      <c r="G366" s="2" t="str">
        <f t="shared" si="15"/>
        <v>October</v>
      </c>
      <c r="H366" s="2" t="str">
        <f t="shared" si="16"/>
        <v>Week 5</v>
      </c>
      <c r="I366" s="2" t="str">
        <f t="shared" si="17"/>
        <v>Quarter 4</v>
      </c>
    </row>
    <row r="367" spans="1:9" x14ac:dyDescent="0.25">
      <c r="A367">
        <v>2800063671</v>
      </c>
      <c r="B367">
        <v>273114</v>
      </c>
      <c r="C367" t="s">
        <v>15</v>
      </c>
      <c r="D367">
        <v>925.67</v>
      </c>
      <c r="E367" t="s">
        <v>16</v>
      </c>
      <c r="F367" s="3">
        <v>44131</v>
      </c>
      <c r="G367" s="2" t="str">
        <f t="shared" si="15"/>
        <v>October</v>
      </c>
      <c r="H367" s="2" t="str">
        <f t="shared" si="16"/>
        <v>Week 5</v>
      </c>
      <c r="I367" s="2" t="str">
        <f t="shared" si="17"/>
        <v>Quarter 4</v>
      </c>
    </row>
    <row r="368" spans="1:9" x14ac:dyDescent="0.25">
      <c r="A368">
        <v>2800063845</v>
      </c>
      <c r="B368">
        <v>271351</v>
      </c>
      <c r="C368" t="s">
        <v>15</v>
      </c>
      <c r="D368">
        <v>44.25</v>
      </c>
      <c r="E368" t="s">
        <v>19</v>
      </c>
      <c r="F368" s="3">
        <v>44131</v>
      </c>
      <c r="G368" s="2" t="str">
        <f t="shared" si="15"/>
        <v>October</v>
      </c>
      <c r="H368" s="2" t="str">
        <f t="shared" si="16"/>
        <v>Week 5</v>
      </c>
      <c r="I368" s="2" t="str">
        <f t="shared" si="17"/>
        <v>Quarter 4</v>
      </c>
    </row>
    <row r="369" spans="1:9" x14ac:dyDescent="0.25">
      <c r="A369">
        <v>2800063859</v>
      </c>
      <c r="B369">
        <v>271351</v>
      </c>
      <c r="C369" t="s">
        <v>15</v>
      </c>
      <c r="D369">
        <v>500</v>
      </c>
      <c r="E369" t="s">
        <v>23</v>
      </c>
      <c r="F369" s="3">
        <v>44131</v>
      </c>
      <c r="G369" s="2" t="str">
        <f t="shared" si="15"/>
        <v>October</v>
      </c>
      <c r="H369" s="2" t="str">
        <f t="shared" si="16"/>
        <v>Week 5</v>
      </c>
      <c r="I369" s="2" t="str">
        <f t="shared" si="17"/>
        <v>Quarter 4</v>
      </c>
    </row>
    <row r="370" spans="1:9" x14ac:dyDescent="0.25">
      <c r="A370">
        <v>2800063846</v>
      </c>
      <c r="B370">
        <v>271351</v>
      </c>
      <c r="C370" t="s">
        <v>15</v>
      </c>
      <c r="D370">
        <v>284.39999999999998</v>
      </c>
      <c r="E370" t="s">
        <v>19</v>
      </c>
      <c r="F370" s="3">
        <v>44131</v>
      </c>
      <c r="G370" s="2" t="str">
        <f t="shared" si="15"/>
        <v>October</v>
      </c>
      <c r="H370" s="2" t="str">
        <f t="shared" si="16"/>
        <v>Week 5</v>
      </c>
      <c r="I370" s="2" t="str">
        <f t="shared" si="17"/>
        <v>Quarter 4</v>
      </c>
    </row>
    <row r="371" spans="1:9" x14ac:dyDescent="0.25">
      <c r="A371">
        <v>2800063588</v>
      </c>
      <c r="B371">
        <v>271151</v>
      </c>
      <c r="C371" t="s">
        <v>11</v>
      </c>
      <c r="D371">
        <v>724.9</v>
      </c>
      <c r="F371" s="3">
        <v>44131</v>
      </c>
      <c r="G371" s="2" t="str">
        <f t="shared" si="15"/>
        <v>October</v>
      </c>
      <c r="H371" s="2" t="str">
        <f t="shared" si="16"/>
        <v>Week 5</v>
      </c>
      <c r="I371" s="2" t="str">
        <f t="shared" si="17"/>
        <v>Quarter 4</v>
      </c>
    </row>
    <row r="372" spans="1:9" x14ac:dyDescent="0.25">
      <c r="A372">
        <v>2800063888</v>
      </c>
      <c r="B372">
        <v>271351</v>
      </c>
      <c r="C372" t="s">
        <v>21</v>
      </c>
      <c r="D372">
        <v>4640</v>
      </c>
      <c r="F372" s="3">
        <v>44131</v>
      </c>
      <c r="G372" s="2" t="str">
        <f t="shared" si="15"/>
        <v>October</v>
      </c>
      <c r="H372" s="2" t="str">
        <f t="shared" si="16"/>
        <v>Week 5</v>
      </c>
      <c r="I372" s="2" t="str">
        <f t="shared" si="17"/>
        <v>Quarter 4</v>
      </c>
    </row>
    <row r="373" spans="1:9" x14ac:dyDescent="0.25">
      <c r="A373">
        <v>2800063860</v>
      </c>
      <c r="B373">
        <v>271351</v>
      </c>
      <c r="C373" t="s">
        <v>15</v>
      </c>
      <c r="D373">
        <v>800</v>
      </c>
      <c r="E373" t="s">
        <v>23</v>
      </c>
      <c r="F373" s="3">
        <v>44131</v>
      </c>
      <c r="G373" s="2" t="str">
        <f t="shared" si="15"/>
        <v>October</v>
      </c>
      <c r="H373" s="2" t="str">
        <f t="shared" si="16"/>
        <v>Week 5</v>
      </c>
      <c r="I373" s="2" t="str">
        <f t="shared" si="17"/>
        <v>Quarter 4</v>
      </c>
    </row>
    <row r="374" spans="1:9" x14ac:dyDescent="0.25">
      <c r="A374">
        <v>2800063797</v>
      </c>
      <c r="B374">
        <v>271151</v>
      </c>
      <c r="C374" t="s">
        <v>11</v>
      </c>
      <c r="D374">
        <v>2420</v>
      </c>
      <c r="F374" s="3">
        <v>44131</v>
      </c>
      <c r="G374" s="2" t="str">
        <f t="shared" si="15"/>
        <v>October</v>
      </c>
      <c r="H374" s="2" t="str">
        <f t="shared" si="16"/>
        <v>Week 5</v>
      </c>
      <c r="I374" s="2" t="str">
        <f t="shared" si="17"/>
        <v>Quarter 4</v>
      </c>
    </row>
    <row r="375" spans="1:9" x14ac:dyDescent="0.25">
      <c r="A375">
        <v>2800063798</v>
      </c>
      <c r="B375">
        <v>271151</v>
      </c>
      <c r="C375" t="s">
        <v>11</v>
      </c>
      <c r="D375">
        <v>5324</v>
      </c>
      <c r="F375" s="3">
        <v>44131</v>
      </c>
      <c r="G375" s="2" t="str">
        <f t="shared" si="15"/>
        <v>October</v>
      </c>
      <c r="H375" s="2" t="str">
        <f t="shared" si="16"/>
        <v>Week 5</v>
      </c>
      <c r="I375" s="2" t="str">
        <f t="shared" si="17"/>
        <v>Quarter 4</v>
      </c>
    </row>
    <row r="376" spans="1:9" x14ac:dyDescent="0.25">
      <c r="A376">
        <v>2800063799</v>
      </c>
      <c r="B376">
        <v>271151</v>
      </c>
      <c r="C376" t="s">
        <v>11</v>
      </c>
      <c r="D376">
        <v>5590</v>
      </c>
      <c r="F376" s="3">
        <v>44131</v>
      </c>
      <c r="G376" s="2" t="str">
        <f t="shared" si="15"/>
        <v>October</v>
      </c>
      <c r="H376" s="2" t="str">
        <f t="shared" si="16"/>
        <v>Week 5</v>
      </c>
      <c r="I376" s="2" t="str">
        <f t="shared" si="17"/>
        <v>Quarter 4</v>
      </c>
    </row>
    <row r="377" spans="1:9" x14ac:dyDescent="0.25">
      <c r="A377">
        <v>2800063861</v>
      </c>
      <c r="B377">
        <v>271351</v>
      </c>
      <c r="C377" t="s">
        <v>15</v>
      </c>
      <c r="D377">
        <v>2250</v>
      </c>
      <c r="E377" t="s">
        <v>23</v>
      </c>
      <c r="F377" s="3">
        <v>44131</v>
      </c>
      <c r="G377" s="2" t="str">
        <f t="shared" si="15"/>
        <v>October</v>
      </c>
      <c r="H377" s="2" t="str">
        <f t="shared" si="16"/>
        <v>Week 5</v>
      </c>
      <c r="I377" s="2" t="str">
        <f t="shared" si="17"/>
        <v>Quarter 4</v>
      </c>
    </row>
    <row r="378" spans="1:9" x14ac:dyDescent="0.25">
      <c r="A378">
        <v>2800063740</v>
      </c>
      <c r="B378">
        <v>271351</v>
      </c>
      <c r="C378" t="s">
        <v>15</v>
      </c>
      <c r="D378">
        <v>10076</v>
      </c>
      <c r="E378" t="s">
        <v>26</v>
      </c>
      <c r="F378" s="3">
        <v>44131</v>
      </c>
      <c r="G378" s="2" t="str">
        <f t="shared" si="15"/>
        <v>October</v>
      </c>
      <c r="H378" s="2" t="str">
        <f t="shared" si="16"/>
        <v>Week 5</v>
      </c>
      <c r="I378" s="2" t="str">
        <f t="shared" si="17"/>
        <v>Quarter 4</v>
      </c>
    </row>
    <row r="379" spans="1:9" x14ac:dyDescent="0.25">
      <c r="A379">
        <v>2800063753</v>
      </c>
      <c r="B379">
        <v>273114</v>
      </c>
      <c r="C379" t="s">
        <v>21</v>
      </c>
      <c r="D379">
        <v>58</v>
      </c>
      <c r="F379" s="3">
        <v>44131</v>
      </c>
      <c r="G379" s="2" t="str">
        <f t="shared" si="15"/>
        <v>October</v>
      </c>
      <c r="H379" s="2" t="str">
        <f t="shared" si="16"/>
        <v>Week 5</v>
      </c>
      <c r="I379" s="2" t="str">
        <f t="shared" si="17"/>
        <v>Quarter 4</v>
      </c>
    </row>
    <row r="380" spans="1:9" x14ac:dyDescent="0.25">
      <c r="A380">
        <v>2800063847</v>
      </c>
      <c r="B380">
        <v>271351</v>
      </c>
      <c r="C380" t="s">
        <v>15</v>
      </c>
      <c r="D380">
        <v>84.25</v>
      </c>
      <c r="E380" t="s">
        <v>19</v>
      </c>
      <c r="F380" s="3">
        <v>44131</v>
      </c>
      <c r="G380" s="2" t="str">
        <f t="shared" si="15"/>
        <v>October</v>
      </c>
      <c r="H380" s="2" t="str">
        <f t="shared" si="16"/>
        <v>Week 5</v>
      </c>
      <c r="I380" s="2" t="str">
        <f t="shared" si="17"/>
        <v>Quarter 4</v>
      </c>
    </row>
    <row r="381" spans="1:9" x14ac:dyDescent="0.25">
      <c r="A381">
        <v>2800063850</v>
      </c>
      <c r="B381">
        <v>271351</v>
      </c>
      <c r="C381" t="s">
        <v>15</v>
      </c>
      <c r="D381">
        <v>45.6</v>
      </c>
      <c r="E381" t="s">
        <v>19</v>
      </c>
      <c r="F381" s="3">
        <v>44131</v>
      </c>
      <c r="G381" s="2" t="str">
        <f t="shared" si="15"/>
        <v>October</v>
      </c>
      <c r="H381" s="2" t="str">
        <f t="shared" si="16"/>
        <v>Week 5</v>
      </c>
      <c r="I381" s="2" t="str">
        <f t="shared" si="17"/>
        <v>Quarter 4</v>
      </c>
    </row>
    <row r="382" spans="1:9" x14ac:dyDescent="0.25">
      <c r="A382">
        <v>2800063639</v>
      </c>
      <c r="B382">
        <v>271351</v>
      </c>
      <c r="C382" t="s">
        <v>11</v>
      </c>
      <c r="D382">
        <v>339.95</v>
      </c>
      <c r="F382" s="3">
        <v>44131</v>
      </c>
      <c r="G382" s="2" t="str">
        <f t="shared" si="15"/>
        <v>October</v>
      </c>
      <c r="H382" s="2" t="str">
        <f t="shared" si="16"/>
        <v>Week 5</v>
      </c>
      <c r="I382" s="2" t="str">
        <f t="shared" si="17"/>
        <v>Quarter 4</v>
      </c>
    </row>
    <row r="383" spans="1:9" x14ac:dyDescent="0.25">
      <c r="A383">
        <v>2800063849</v>
      </c>
      <c r="B383">
        <v>271351</v>
      </c>
      <c r="C383" t="s">
        <v>15</v>
      </c>
      <c r="D383">
        <v>86.4</v>
      </c>
      <c r="E383" t="s">
        <v>19</v>
      </c>
      <c r="F383" s="3">
        <v>44131</v>
      </c>
      <c r="G383" s="2" t="str">
        <f t="shared" si="15"/>
        <v>October</v>
      </c>
      <c r="H383" s="2" t="str">
        <f t="shared" si="16"/>
        <v>Week 5</v>
      </c>
      <c r="I383" s="2" t="str">
        <f t="shared" si="17"/>
        <v>Quarter 4</v>
      </c>
    </row>
    <row r="384" spans="1:9" x14ac:dyDescent="0.25">
      <c r="A384">
        <v>2800063564</v>
      </c>
      <c r="B384">
        <v>271151</v>
      </c>
      <c r="C384" t="s">
        <v>11</v>
      </c>
      <c r="D384">
        <v>7512</v>
      </c>
      <c r="F384" s="3">
        <v>44131</v>
      </c>
      <c r="G384" s="2" t="str">
        <f t="shared" si="15"/>
        <v>October</v>
      </c>
      <c r="H384" s="2" t="str">
        <f t="shared" si="16"/>
        <v>Week 5</v>
      </c>
      <c r="I384" s="2" t="str">
        <f t="shared" si="17"/>
        <v>Quarter 4</v>
      </c>
    </row>
    <row r="385" spans="1:9" x14ac:dyDescent="0.25">
      <c r="A385">
        <v>2800063851</v>
      </c>
      <c r="B385">
        <v>271351</v>
      </c>
      <c r="C385" t="s">
        <v>15</v>
      </c>
      <c r="D385">
        <v>12.65</v>
      </c>
      <c r="E385" t="s">
        <v>19</v>
      </c>
      <c r="F385" s="3">
        <v>44131</v>
      </c>
      <c r="G385" s="2" t="str">
        <f t="shared" si="15"/>
        <v>October</v>
      </c>
      <c r="H385" s="2" t="str">
        <f t="shared" si="16"/>
        <v>Week 5</v>
      </c>
      <c r="I385" s="2" t="str">
        <f t="shared" si="17"/>
        <v>Quarter 4</v>
      </c>
    </row>
    <row r="386" spans="1:9" x14ac:dyDescent="0.25">
      <c r="A386">
        <v>2800063765</v>
      </c>
      <c r="B386">
        <v>273114</v>
      </c>
      <c r="C386" t="s">
        <v>11</v>
      </c>
      <c r="D386">
        <v>1033.9000000000001</v>
      </c>
      <c r="F386" s="3">
        <v>44131</v>
      </c>
      <c r="G386" s="2" t="str">
        <f t="shared" si="15"/>
        <v>October</v>
      </c>
      <c r="H386" s="2" t="str">
        <f t="shared" si="16"/>
        <v>Week 5</v>
      </c>
      <c r="I386" s="2" t="str">
        <f t="shared" si="17"/>
        <v>Quarter 4</v>
      </c>
    </row>
    <row r="387" spans="1:9" x14ac:dyDescent="0.25">
      <c r="A387">
        <v>2800063552</v>
      </c>
      <c r="B387">
        <v>271351</v>
      </c>
      <c r="C387" t="s">
        <v>11</v>
      </c>
      <c r="D387">
        <v>26.8</v>
      </c>
      <c r="F387" s="3">
        <v>44131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5</v>
      </c>
      <c r="I387" s="2" t="str">
        <f t="shared" ref="I387:I450" si="20">"Quarter " &amp; ROUNDUP((MONTH(F387))/3,0)</f>
        <v>Quarter 4</v>
      </c>
    </row>
    <row r="388" spans="1:9" x14ac:dyDescent="0.25">
      <c r="A388">
        <v>2800063550</v>
      </c>
      <c r="B388">
        <v>271151</v>
      </c>
      <c r="C388" t="s">
        <v>11</v>
      </c>
      <c r="D388">
        <v>16.350000000000001</v>
      </c>
      <c r="F388" s="3">
        <v>44131</v>
      </c>
      <c r="G388" s="2" t="str">
        <f t="shared" si="18"/>
        <v>October</v>
      </c>
      <c r="H388" s="2" t="str">
        <f t="shared" si="19"/>
        <v>Week 5</v>
      </c>
      <c r="I388" s="2" t="str">
        <f t="shared" si="20"/>
        <v>Quarter 4</v>
      </c>
    </row>
    <row r="389" spans="1:9" x14ac:dyDescent="0.25">
      <c r="A389">
        <v>2800063632</v>
      </c>
      <c r="B389">
        <v>271351</v>
      </c>
      <c r="C389" t="s">
        <v>11</v>
      </c>
      <c r="D389">
        <v>25.6</v>
      </c>
      <c r="F389" s="3">
        <v>44131</v>
      </c>
      <c r="G389" s="2" t="str">
        <f t="shared" si="18"/>
        <v>October</v>
      </c>
      <c r="H389" s="2" t="str">
        <f t="shared" si="19"/>
        <v>Week 5</v>
      </c>
      <c r="I389" s="2" t="str">
        <f t="shared" si="20"/>
        <v>Quarter 4</v>
      </c>
    </row>
    <row r="390" spans="1:9" x14ac:dyDescent="0.25">
      <c r="A390">
        <v>2800063634</v>
      </c>
      <c r="B390">
        <v>271351</v>
      </c>
      <c r="C390" t="s">
        <v>11</v>
      </c>
      <c r="D390">
        <v>25.6</v>
      </c>
      <c r="F390" s="3">
        <v>44131</v>
      </c>
      <c r="G390" s="2" t="str">
        <f t="shared" si="18"/>
        <v>October</v>
      </c>
      <c r="H390" s="2" t="str">
        <f t="shared" si="19"/>
        <v>Week 5</v>
      </c>
      <c r="I390" s="2" t="str">
        <f t="shared" si="20"/>
        <v>Quarter 4</v>
      </c>
    </row>
    <row r="391" spans="1:9" x14ac:dyDescent="0.25">
      <c r="A391">
        <v>2800063641</v>
      </c>
      <c r="B391">
        <v>273118</v>
      </c>
      <c r="C391" t="s">
        <v>11</v>
      </c>
      <c r="D391">
        <v>5.3</v>
      </c>
      <c r="F391" s="3">
        <v>44131</v>
      </c>
      <c r="G391" s="2" t="str">
        <f t="shared" si="18"/>
        <v>October</v>
      </c>
      <c r="H391" s="2" t="str">
        <f t="shared" si="19"/>
        <v>Week 5</v>
      </c>
      <c r="I391" s="2" t="str">
        <f t="shared" si="20"/>
        <v>Quarter 4</v>
      </c>
    </row>
    <row r="392" spans="1:9" x14ac:dyDescent="0.25">
      <c r="A392">
        <v>2000086443</v>
      </c>
      <c r="B392" t="s">
        <v>27</v>
      </c>
      <c r="C392" t="s">
        <v>21</v>
      </c>
      <c r="D392">
        <v>100</v>
      </c>
      <c r="F392" s="3">
        <v>44131</v>
      </c>
      <c r="G392" s="2" t="str">
        <f t="shared" si="18"/>
        <v>October</v>
      </c>
      <c r="H392" s="2" t="str">
        <f t="shared" si="19"/>
        <v>Week 5</v>
      </c>
      <c r="I392" s="2" t="str">
        <f t="shared" si="20"/>
        <v>Quarter 4</v>
      </c>
    </row>
    <row r="393" spans="1:9" x14ac:dyDescent="0.25">
      <c r="A393">
        <v>2000086217</v>
      </c>
      <c r="B393" t="s">
        <v>27</v>
      </c>
      <c r="C393" t="s">
        <v>12</v>
      </c>
      <c r="D393">
        <v>101.65</v>
      </c>
      <c r="F393" s="3">
        <v>44131</v>
      </c>
      <c r="G393" s="2" t="str">
        <f t="shared" si="18"/>
        <v>October</v>
      </c>
      <c r="H393" s="2" t="str">
        <f t="shared" si="19"/>
        <v>Week 5</v>
      </c>
      <c r="I393" s="2" t="str">
        <f t="shared" si="20"/>
        <v>Quarter 4</v>
      </c>
    </row>
    <row r="394" spans="1:9" x14ac:dyDescent="0.25">
      <c r="A394">
        <v>2000086217</v>
      </c>
      <c r="B394" t="s">
        <v>27</v>
      </c>
      <c r="C394" t="s">
        <v>12</v>
      </c>
      <c r="D394">
        <v>33.700000000000003</v>
      </c>
      <c r="F394" s="3">
        <v>44131</v>
      </c>
      <c r="G394" s="2" t="str">
        <f t="shared" si="18"/>
        <v>October</v>
      </c>
      <c r="H394" s="2" t="str">
        <f t="shared" si="19"/>
        <v>Week 5</v>
      </c>
      <c r="I394" s="2" t="str">
        <f t="shared" si="20"/>
        <v>Quarter 4</v>
      </c>
    </row>
    <row r="395" spans="1:9" x14ac:dyDescent="0.25">
      <c r="A395">
        <v>2000086218</v>
      </c>
      <c r="B395" t="s">
        <v>27</v>
      </c>
      <c r="C395" t="s">
        <v>12</v>
      </c>
      <c r="D395">
        <v>22.45</v>
      </c>
      <c r="F395" s="3">
        <v>44131</v>
      </c>
      <c r="G395" s="2" t="str">
        <f t="shared" si="18"/>
        <v>October</v>
      </c>
      <c r="H395" s="2" t="str">
        <f t="shared" si="19"/>
        <v>Week 5</v>
      </c>
      <c r="I395" s="2" t="str">
        <f t="shared" si="20"/>
        <v>Quarter 4</v>
      </c>
    </row>
    <row r="396" spans="1:9" x14ac:dyDescent="0.25">
      <c r="A396">
        <v>2000086221</v>
      </c>
      <c r="B396" t="s">
        <v>27</v>
      </c>
      <c r="C396" t="s">
        <v>12</v>
      </c>
      <c r="D396">
        <v>73.650000000000006</v>
      </c>
      <c r="F396" s="3">
        <v>44131</v>
      </c>
      <c r="G396" s="2" t="str">
        <f t="shared" si="18"/>
        <v>October</v>
      </c>
      <c r="H396" s="2" t="str">
        <f t="shared" si="19"/>
        <v>Week 5</v>
      </c>
      <c r="I396" s="2" t="str">
        <f t="shared" si="20"/>
        <v>Quarter 4</v>
      </c>
    </row>
    <row r="397" spans="1:9" x14ac:dyDescent="0.25">
      <c r="A397">
        <v>2000086222</v>
      </c>
      <c r="B397" t="s">
        <v>27</v>
      </c>
      <c r="C397" t="s">
        <v>12</v>
      </c>
      <c r="D397">
        <v>23.21</v>
      </c>
      <c r="F397" s="3">
        <v>44131</v>
      </c>
      <c r="G397" s="2" t="str">
        <f t="shared" si="18"/>
        <v>October</v>
      </c>
      <c r="H397" s="2" t="str">
        <f t="shared" si="19"/>
        <v>Week 5</v>
      </c>
      <c r="I397" s="2" t="str">
        <f t="shared" si="20"/>
        <v>Quarter 4</v>
      </c>
    </row>
    <row r="398" spans="1:9" x14ac:dyDescent="0.25">
      <c r="A398">
        <v>2000086225</v>
      </c>
      <c r="B398" t="s">
        <v>27</v>
      </c>
      <c r="C398" t="s">
        <v>12</v>
      </c>
      <c r="D398">
        <v>225</v>
      </c>
      <c r="F398" s="3">
        <v>44131</v>
      </c>
      <c r="G398" s="2" t="str">
        <f t="shared" si="18"/>
        <v>October</v>
      </c>
      <c r="H398" s="2" t="str">
        <f t="shared" si="19"/>
        <v>Week 5</v>
      </c>
      <c r="I398" s="2" t="str">
        <f t="shared" si="20"/>
        <v>Quarter 4</v>
      </c>
    </row>
    <row r="399" spans="1:9" x14ac:dyDescent="0.25">
      <c r="A399">
        <v>2000086226</v>
      </c>
      <c r="B399" t="s">
        <v>27</v>
      </c>
      <c r="C399" t="s">
        <v>12</v>
      </c>
      <c r="D399">
        <v>34.85</v>
      </c>
      <c r="F399" s="3">
        <v>44131</v>
      </c>
      <c r="G399" s="2" t="str">
        <f t="shared" si="18"/>
        <v>October</v>
      </c>
      <c r="H399" s="2" t="str">
        <f t="shared" si="19"/>
        <v>Week 5</v>
      </c>
      <c r="I399" s="2" t="str">
        <f t="shared" si="20"/>
        <v>Quarter 4</v>
      </c>
    </row>
    <row r="400" spans="1:9" x14ac:dyDescent="0.25">
      <c r="A400">
        <v>2000086228</v>
      </c>
      <c r="B400" t="s">
        <v>27</v>
      </c>
      <c r="C400" t="s">
        <v>12</v>
      </c>
      <c r="D400">
        <v>1419.85</v>
      </c>
      <c r="F400" s="3">
        <v>44131</v>
      </c>
      <c r="G400" s="2" t="str">
        <f t="shared" si="18"/>
        <v>October</v>
      </c>
      <c r="H400" s="2" t="str">
        <f t="shared" si="19"/>
        <v>Week 5</v>
      </c>
      <c r="I400" s="2" t="str">
        <f t="shared" si="20"/>
        <v>Quarter 4</v>
      </c>
    </row>
    <row r="401" spans="1:9" x14ac:dyDescent="0.25">
      <c r="A401">
        <v>2000086231</v>
      </c>
      <c r="B401" t="s">
        <v>27</v>
      </c>
      <c r="C401" t="s">
        <v>12</v>
      </c>
      <c r="D401">
        <v>7.7</v>
      </c>
      <c r="F401" s="3">
        <v>44131</v>
      </c>
      <c r="G401" s="2" t="str">
        <f t="shared" si="18"/>
        <v>October</v>
      </c>
      <c r="H401" s="2" t="str">
        <f t="shared" si="19"/>
        <v>Week 5</v>
      </c>
      <c r="I401" s="2" t="str">
        <f t="shared" si="20"/>
        <v>Quarter 4</v>
      </c>
    </row>
    <row r="402" spans="1:9" x14ac:dyDescent="0.25">
      <c r="A402">
        <v>2000086530</v>
      </c>
      <c r="B402" t="s">
        <v>27</v>
      </c>
      <c r="C402" t="s">
        <v>9</v>
      </c>
      <c r="D402">
        <v>10.4</v>
      </c>
      <c r="F402" s="3">
        <v>44131</v>
      </c>
      <c r="G402" s="2" t="str">
        <f t="shared" si="18"/>
        <v>October</v>
      </c>
      <c r="H402" s="2" t="str">
        <f t="shared" si="19"/>
        <v>Week 5</v>
      </c>
      <c r="I402" s="2" t="str">
        <f t="shared" si="20"/>
        <v>Quarter 4</v>
      </c>
    </row>
    <row r="403" spans="1:9" x14ac:dyDescent="0.25">
      <c r="A403">
        <v>2000086531</v>
      </c>
      <c r="B403" t="s">
        <v>27</v>
      </c>
      <c r="C403" t="s">
        <v>9</v>
      </c>
      <c r="D403">
        <v>7.8</v>
      </c>
      <c r="F403" s="3">
        <v>44131</v>
      </c>
      <c r="G403" s="2" t="str">
        <f t="shared" si="18"/>
        <v>October</v>
      </c>
      <c r="H403" s="2" t="str">
        <f t="shared" si="19"/>
        <v>Week 5</v>
      </c>
      <c r="I403" s="2" t="str">
        <f t="shared" si="20"/>
        <v>Quarter 4</v>
      </c>
    </row>
    <row r="404" spans="1:9" x14ac:dyDescent="0.25">
      <c r="A404">
        <v>2000086532</v>
      </c>
      <c r="B404" t="s">
        <v>27</v>
      </c>
      <c r="C404" t="s">
        <v>9</v>
      </c>
      <c r="D404">
        <v>81.400000000000006</v>
      </c>
      <c r="F404" s="3">
        <v>44131</v>
      </c>
      <c r="G404" s="2" t="str">
        <f t="shared" si="18"/>
        <v>October</v>
      </c>
      <c r="H404" s="2" t="str">
        <f t="shared" si="19"/>
        <v>Week 5</v>
      </c>
      <c r="I404" s="2" t="str">
        <f t="shared" si="20"/>
        <v>Quarter 4</v>
      </c>
    </row>
    <row r="405" spans="1:9" x14ac:dyDescent="0.25">
      <c r="A405">
        <v>2000086299</v>
      </c>
      <c r="B405" t="s">
        <v>27</v>
      </c>
      <c r="C405" t="s">
        <v>18</v>
      </c>
      <c r="D405">
        <v>384.35</v>
      </c>
      <c r="F405" s="3">
        <v>44131</v>
      </c>
      <c r="G405" s="2" t="str">
        <f t="shared" si="18"/>
        <v>October</v>
      </c>
      <c r="H405" s="2" t="str">
        <f t="shared" si="19"/>
        <v>Week 5</v>
      </c>
      <c r="I405" s="2" t="str">
        <f t="shared" si="20"/>
        <v>Quarter 4</v>
      </c>
    </row>
    <row r="406" spans="1:9" x14ac:dyDescent="0.25">
      <c r="A406">
        <v>2000086347</v>
      </c>
      <c r="B406" t="s">
        <v>27</v>
      </c>
      <c r="C406" t="s">
        <v>18</v>
      </c>
      <c r="D406">
        <v>241.2</v>
      </c>
      <c r="F406" s="3">
        <v>44131</v>
      </c>
      <c r="G406" s="2" t="str">
        <f t="shared" si="18"/>
        <v>October</v>
      </c>
      <c r="H406" s="2" t="str">
        <f t="shared" si="19"/>
        <v>Week 5</v>
      </c>
      <c r="I406" s="2" t="str">
        <f t="shared" si="20"/>
        <v>Quarter 4</v>
      </c>
    </row>
    <row r="407" spans="1:9" x14ac:dyDescent="0.25">
      <c r="A407">
        <v>2000086293</v>
      </c>
      <c r="B407" t="s">
        <v>27</v>
      </c>
      <c r="C407" t="s">
        <v>18</v>
      </c>
      <c r="D407">
        <v>424.95</v>
      </c>
      <c r="F407" s="3">
        <v>44131</v>
      </c>
      <c r="G407" s="2" t="str">
        <f t="shared" si="18"/>
        <v>October</v>
      </c>
      <c r="H407" s="2" t="str">
        <f t="shared" si="19"/>
        <v>Week 5</v>
      </c>
      <c r="I407" s="2" t="str">
        <f t="shared" si="20"/>
        <v>Quarter 4</v>
      </c>
    </row>
    <row r="408" spans="1:9" x14ac:dyDescent="0.25">
      <c r="A408">
        <v>2000086240</v>
      </c>
      <c r="B408" t="s">
        <v>27</v>
      </c>
      <c r="C408" t="s">
        <v>18</v>
      </c>
      <c r="D408">
        <v>4024.25</v>
      </c>
      <c r="F408" s="3">
        <v>44131</v>
      </c>
      <c r="G408" s="2" t="str">
        <f t="shared" si="18"/>
        <v>October</v>
      </c>
      <c r="H408" s="2" t="str">
        <f t="shared" si="19"/>
        <v>Week 5</v>
      </c>
      <c r="I408" s="2" t="str">
        <f t="shared" si="20"/>
        <v>Quarter 4</v>
      </c>
    </row>
    <row r="409" spans="1:9" x14ac:dyDescent="0.25">
      <c r="A409">
        <v>2000086241</v>
      </c>
      <c r="B409" t="s">
        <v>27</v>
      </c>
      <c r="C409" t="s">
        <v>18</v>
      </c>
      <c r="D409">
        <v>2026.65</v>
      </c>
      <c r="F409" s="3">
        <v>44131</v>
      </c>
      <c r="G409" s="2" t="str">
        <f t="shared" si="18"/>
        <v>October</v>
      </c>
      <c r="H409" s="2" t="str">
        <f t="shared" si="19"/>
        <v>Week 5</v>
      </c>
      <c r="I409" s="2" t="str">
        <f t="shared" si="20"/>
        <v>Quarter 4</v>
      </c>
    </row>
    <row r="410" spans="1:9" x14ac:dyDescent="0.25">
      <c r="A410">
        <v>2000086372</v>
      </c>
      <c r="B410" t="s">
        <v>27</v>
      </c>
      <c r="C410" t="s">
        <v>18</v>
      </c>
      <c r="D410">
        <v>171.45</v>
      </c>
      <c r="F410" s="3">
        <v>44131</v>
      </c>
      <c r="G410" s="2" t="str">
        <f t="shared" si="18"/>
        <v>October</v>
      </c>
      <c r="H410" s="2" t="str">
        <f t="shared" si="19"/>
        <v>Week 5</v>
      </c>
      <c r="I410" s="2" t="str">
        <f t="shared" si="20"/>
        <v>Quarter 4</v>
      </c>
    </row>
    <row r="411" spans="1:9" x14ac:dyDescent="0.25">
      <c r="A411">
        <v>2000086373</v>
      </c>
      <c r="B411" t="s">
        <v>27</v>
      </c>
      <c r="C411" t="s">
        <v>18</v>
      </c>
      <c r="D411">
        <v>174.2</v>
      </c>
      <c r="F411" s="3">
        <v>44131</v>
      </c>
      <c r="G411" s="2" t="str">
        <f t="shared" si="18"/>
        <v>October</v>
      </c>
      <c r="H411" s="2" t="str">
        <f t="shared" si="19"/>
        <v>Week 5</v>
      </c>
      <c r="I411" s="2" t="str">
        <f t="shared" si="20"/>
        <v>Quarter 4</v>
      </c>
    </row>
    <row r="412" spans="1:9" x14ac:dyDescent="0.25">
      <c r="A412">
        <v>2000086223</v>
      </c>
      <c r="B412" t="s">
        <v>27</v>
      </c>
      <c r="C412" t="s">
        <v>18</v>
      </c>
      <c r="D412">
        <v>8203.24</v>
      </c>
      <c r="F412" s="3">
        <v>44131</v>
      </c>
      <c r="G412" s="2" t="str">
        <f t="shared" si="18"/>
        <v>October</v>
      </c>
      <c r="H412" s="2" t="str">
        <f t="shared" si="19"/>
        <v>Week 5</v>
      </c>
      <c r="I412" s="2" t="str">
        <f t="shared" si="20"/>
        <v>Quarter 4</v>
      </c>
    </row>
    <row r="413" spans="1:9" x14ac:dyDescent="0.25">
      <c r="A413">
        <v>2000086423</v>
      </c>
      <c r="B413" t="s">
        <v>27</v>
      </c>
      <c r="C413" t="s">
        <v>28</v>
      </c>
      <c r="D413">
        <v>1500</v>
      </c>
      <c r="F413" s="3">
        <v>44131</v>
      </c>
      <c r="G413" s="2" t="str">
        <f t="shared" si="18"/>
        <v>October</v>
      </c>
      <c r="H413" s="2" t="str">
        <f t="shared" si="19"/>
        <v>Week 5</v>
      </c>
      <c r="I413" s="2" t="str">
        <f t="shared" si="20"/>
        <v>Quarter 4</v>
      </c>
    </row>
    <row r="414" spans="1:9" x14ac:dyDescent="0.25">
      <c r="A414">
        <v>2000086242</v>
      </c>
      <c r="B414" t="s">
        <v>27</v>
      </c>
      <c r="C414" t="s">
        <v>18</v>
      </c>
      <c r="D414">
        <v>3273.35</v>
      </c>
      <c r="F414" s="3">
        <v>44131</v>
      </c>
      <c r="G414" s="2" t="str">
        <f t="shared" si="18"/>
        <v>October</v>
      </c>
      <c r="H414" s="2" t="str">
        <f t="shared" si="19"/>
        <v>Week 5</v>
      </c>
      <c r="I414" s="2" t="str">
        <f t="shared" si="20"/>
        <v>Quarter 4</v>
      </c>
    </row>
    <row r="415" spans="1:9" x14ac:dyDescent="0.25">
      <c r="A415">
        <v>2000086201</v>
      </c>
      <c r="B415" t="s">
        <v>27</v>
      </c>
      <c r="C415" t="s">
        <v>22</v>
      </c>
      <c r="D415">
        <v>642.5</v>
      </c>
      <c r="F415" s="3">
        <v>44131</v>
      </c>
      <c r="G415" s="2" t="str">
        <f t="shared" si="18"/>
        <v>October</v>
      </c>
      <c r="H415" s="2" t="str">
        <f t="shared" si="19"/>
        <v>Week 5</v>
      </c>
      <c r="I415" s="2" t="str">
        <f t="shared" si="20"/>
        <v>Quarter 4</v>
      </c>
    </row>
    <row r="416" spans="1:9" x14ac:dyDescent="0.25">
      <c r="A416">
        <v>2000086450</v>
      </c>
      <c r="B416" t="s">
        <v>27</v>
      </c>
      <c r="C416" t="s">
        <v>21</v>
      </c>
      <c r="D416">
        <v>46.8</v>
      </c>
      <c r="F416" s="3">
        <v>44131</v>
      </c>
      <c r="G416" s="2" t="str">
        <f t="shared" si="18"/>
        <v>October</v>
      </c>
      <c r="H416" s="2" t="str">
        <f t="shared" si="19"/>
        <v>Week 5</v>
      </c>
      <c r="I416" s="2" t="str">
        <f t="shared" si="20"/>
        <v>Quarter 4</v>
      </c>
    </row>
    <row r="417" spans="1:9" x14ac:dyDescent="0.25">
      <c r="A417">
        <v>2000086458</v>
      </c>
      <c r="B417" t="s">
        <v>27</v>
      </c>
      <c r="C417" t="s">
        <v>12</v>
      </c>
      <c r="D417">
        <v>22.45</v>
      </c>
      <c r="F417" s="3">
        <v>44131</v>
      </c>
      <c r="G417" s="2" t="str">
        <f t="shared" si="18"/>
        <v>October</v>
      </c>
      <c r="H417" s="2" t="str">
        <f t="shared" si="19"/>
        <v>Week 5</v>
      </c>
      <c r="I417" s="2" t="str">
        <f t="shared" si="20"/>
        <v>Quarter 4</v>
      </c>
    </row>
    <row r="418" spans="1:9" x14ac:dyDescent="0.25">
      <c r="A418">
        <v>2000086370</v>
      </c>
      <c r="B418" t="s">
        <v>27</v>
      </c>
      <c r="C418" t="s">
        <v>18</v>
      </c>
      <c r="D418">
        <v>174.86</v>
      </c>
      <c r="F418" s="3">
        <v>44131</v>
      </c>
      <c r="G418" s="2" t="str">
        <f t="shared" si="18"/>
        <v>October</v>
      </c>
      <c r="H418" s="2" t="str">
        <f t="shared" si="19"/>
        <v>Week 5</v>
      </c>
      <c r="I418" s="2" t="str">
        <f t="shared" si="20"/>
        <v>Quarter 4</v>
      </c>
    </row>
    <row r="419" spans="1:9" x14ac:dyDescent="0.25">
      <c r="A419">
        <v>2000086533</v>
      </c>
      <c r="B419" t="s">
        <v>27</v>
      </c>
      <c r="C419" t="s">
        <v>9</v>
      </c>
      <c r="D419">
        <v>20.38</v>
      </c>
      <c r="F419" s="3">
        <v>44131</v>
      </c>
      <c r="G419" s="2" t="str">
        <f t="shared" si="18"/>
        <v>October</v>
      </c>
      <c r="H419" s="2" t="str">
        <f t="shared" si="19"/>
        <v>Week 5</v>
      </c>
      <c r="I419" s="2" t="str">
        <f t="shared" si="20"/>
        <v>Quarter 4</v>
      </c>
    </row>
    <row r="420" spans="1:9" x14ac:dyDescent="0.25">
      <c r="A420">
        <v>2000086232</v>
      </c>
      <c r="B420" t="s">
        <v>27</v>
      </c>
      <c r="C420" t="s">
        <v>12</v>
      </c>
      <c r="D420">
        <v>2487.65</v>
      </c>
      <c r="F420" s="3">
        <v>44131</v>
      </c>
      <c r="G420" s="2" t="str">
        <f t="shared" si="18"/>
        <v>October</v>
      </c>
      <c r="H420" s="2" t="str">
        <f t="shared" si="19"/>
        <v>Week 5</v>
      </c>
      <c r="I420" s="2" t="str">
        <f t="shared" si="20"/>
        <v>Quarter 4</v>
      </c>
    </row>
    <row r="421" spans="1:9" x14ac:dyDescent="0.25">
      <c r="A421">
        <v>2000086227</v>
      </c>
      <c r="B421" t="s">
        <v>27</v>
      </c>
      <c r="C421" t="s">
        <v>18</v>
      </c>
      <c r="D421">
        <v>8067.8</v>
      </c>
      <c r="F421" s="3">
        <v>44131</v>
      </c>
      <c r="G421" s="2" t="str">
        <f t="shared" si="18"/>
        <v>October</v>
      </c>
      <c r="H421" s="2" t="str">
        <f t="shared" si="19"/>
        <v>Week 5</v>
      </c>
      <c r="I421" s="2" t="str">
        <f t="shared" si="20"/>
        <v>Quarter 4</v>
      </c>
    </row>
    <row r="422" spans="1:9" x14ac:dyDescent="0.25">
      <c r="A422">
        <v>2000086340</v>
      </c>
      <c r="B422" t="s">
        <v>27</v>
      </c>
      <c r="C422" t="s">
        <v>18</v>
      </c>
      <c r="D422">
        <v>273.2</v>
      </c>
      <c r="F422" s="3">
        <v>44131</v>
      </c>
      <c r="G422" s="2" t="str">
        <f t="shared" si="18"/>
        <v>October</v>
      </c>
      <c r="H422" s="2" t="str">
        <f t="shared" si="19"/>
        <v>Week 5</v>
      </c>
      <c r="I422" s="2" t="str">
        <f t="shared" si="20"/>
        <v>Quarter 4</v>
      </c>
    </row>
    <row r="423" spans="1:9" x14ac:dyDescent="0.25">
      <c r="A423">
        <v>2000086234</v>
      </c>
      <c r="B423" t="s">
        <v>27</v>
      </c>
      <c r="C423" t="s">
        <v>12</v>
      </c>
      <c r="D423">
        <v>15.65</v>
      </c>
      <c r="F423" s="3">
        <v>44131</v>
      </c>
      <c r="G423" s="2" t="str">
        <f t="shared" si="18"/>
        <v>October</v>
      </c>
      <c r="H423" s="2" t="str">
        <f t="shared" si="19"/>
        <v>Week 5</v>
      </c>
      <c r="I423" s="2" t="str">
        <f t="shared" si="20"/>
        <v>Quarter 4</v>
      </c>
    </row>
    <row r="424" spans="1:9" x14ac:dyDescent="0.25">
      <c r="A424">
        <v>2000086236</v>
      </c>
      <c r="B424" t="s">
        <v>27</v>
      </c>
      <c r="C424" t="s">
        <v>12</v>
      </c>
      <c r="D424">
        <v>662.85</v>
      </c>
      <c r="F424" s="3">
        <v>44131</v>
      </c>
      <c r="G424" s="2" t="str">
        <f t="shared" si="18"/>
        <v>October</v>
      </c>
      <c r="H424" s="2" t="str">
        <f t="shared" si="19"/>
        <v>Week 5</v>
      </c>
      <c r="I424" s="2" t="str">
        <f t="shared" si="20"/>
        <v>Quarter 4</v>
      </c>
    </row>
    <row r="425" spans="1:9" x14ac:dyDescent="0.25">
      <c r="A425">
        <v>2000086350</v>
      </c>
      <c r="B425" t="s">
        <v>27</v>
      </c>
      <c r="C425" t="s">
        <v>18</v>
      </c>
      <c r="D425">
        <v>15.65</v>
      </c>
      <c r="F425" s="3">
        <v>44131</v>
      </c>
      <c r="G425" s="2" t="str">
        <f t="shared" si="18"/>
        <v>October</v>
      </c>
      <c r="H425" s="2" t="str">
        <f t="shared" si="19"/>
        <v>Week 5</v>
      </c>
      <c r="I425" s="2" t="str">
        <f t="shared" si="20"/>
        <v>Quarter 4</v>
      </c>
    </row>
    <row r="426" spans="1:9" x14ac:dyDescent="0.25">
      <c r="A426">
        <v>2000086351</v>
      </c>
      <c r="B426" t="s">
        <v>27</v>
      </c>
      <c r="C426" t="s">
        <v>18</v>
      </c>
      <c r="D426">
        <v>237.9</v>
      </c>
      <c r="F426" s="3">
        <v>44131</v>
      </c>
      <c r="G426" s="2" t="str">
        <f t="shared" si="18"/>
        <v>October</v>
      </c>
      <c r="H426" s="2" t="str">
        <f t="shared" si="19"/>
        <v>Week 5</v>
      </c>
      <c r="I426" s="2" t="str">
        <f t="shared" si="20"/>
        <v>Quarter 4</v>
      </c>
    </row>
    <row r="427" spans="1:9" x14ac:dyDescent="0.25">
      <c r="A427">
        <v>2000086454</v>
      </c>
      <c r="B427" t="s">
        <v>27</v>
      </c>
      <c r="C427" t="s">
        <v>21</v>
      </c>
      <c r="D427">
        <v>216.25</v>
      </c>
      <c r="F427" s="3">
        <v>44131</v>
      </c>
      <c r="G427" s="2" t="str">
        <f t="shared" si="18"/>
        <v>October</v>
      </c>
      <c r="H427" s="2" t="str">
        <f t="shared" si="19"/>
        <v>Week 5</v>
      </c>
      <c r="I427" s="2" t="str">
        <f t="shared" si="20"/>
        <v>Quarter 4</v>
      </c>
    </row>
    <row r="428" spans="1:9" x14ac:dyDescent="0.25">
      <c r="A428">
        <v>2000086252</v>
      </c>
      <c r="B428" t="s">
        <v>27</v>
      </c>
      <c r="C428" t="s">
        <v>18</v>
      </c>
      <c r="D428">
        <v>1575.41</v>
      </c>
      <c r="F428" s="3">
        <v>44131</v>
      </c>
      <c r="G428" s="2" t="str">
        <f t="shared" si="18"/>
        <v>October</v>
      </c>
      <c r="H428" s="2" t="str">
        <f t="shared" si="19"/>
        <v>Week 5</v>
      </c>
      <c r="I428" s="2" t="str">
        <f t="shared" si="20"/>
        <v>Quarter 4</v>
      </c>
    </row>
    <row r="429" spans="1:9" x14ac:dyDescent="0.25">
      <c r="A429">
        <v>2000086534</v>
      </c>
      <c r="B429" t="s">
        <v>27</v>
      </c>
      <c r="C429" t="s">
        <v>9</v>
      </c>
      <c r="D429">
        <v>49</v>
      </c>
      <c r="F429" s="3">
        <v>44131</v>
      </c>
      <c r="G429" s="2" t="str">
        <f t="shared" si="18"/>
        <v>October</v>
      </c>
      <c r="H429" s="2" t="str">
        <f t="shared" si="19"/>
        <v>Week 5</v>
      </c>
      <c r="I429" s="2" t="str">
        <f t="shared" si="20"/>
        <v>Quarter 4</v>
      </c>
    </row>
    <row r="430" spans="1:9" x14ac:dyDescent="0.25">
      <c r="A430">
        <v>2000086455</v>
      </c>
      <c r="B430" t="s">
        <v>27</v>
      </c>
      <c r="C430" t="s">
        <v>21</v>
      </c>
      <c r="D430">
        <v>7.55</v>
      </c>
      <c r="F430" s="3">
        <v>44131</v>
      </c>
      <c r="G430" s="2" t="str">
        <f t="shared" si="18"/>
        <v>October</v>
      </c>
      <c r="H430" s="2" t="str">
        <f t="shared" si="19"/>
        <v>Week 5</v>
      </c>
      <c r="I430" s="2" t="str">
        <f t="shared" si="20"/>
        <v>Quarter 4</v>
      </c>
    </row>
    <row r="431" spans="1:9" x14ac:dyDescent="0.25">
      <c r="A431">
        <v>2000086273</v>
      </c>
      <c r="B431" t="s">
        <v>27</v>
      </c>
      <c r="C431" t="s">
        <v>22</v>
      </c>
      <c r="D431">
        <v>87.47</v>
      </c>
      <c r="F431" s="3">
        <v>44131</v>
      </c>
      <c r="G431" s="2" t="str">
        <f t="shared" si="18"/>
        <v>October</v>
      </c>
      <c r="H431" s="2" t="str">
        <f t="shared" si="19"/>
        <v>Week 5</v>
      </c>
      <c r="I431" s="2" t="str">
        <f t="shared" si="20"/>
        <v>Quarter 4</v>
      </c>
    </row>
    <row r="432" spans="1:9" x14ac:dyDescent="0.25">
      <c r="A432">
        <v>2000086339</v>
      </c>
      <c r="B432" t="s">
        <v>27</v>
      </c>
      <c r="C432" t="s">
        <v>18</v>
      </c>
      <c r="D432">
        <v>273.64999999999998</v>
      </c>
      <c r="F432" s="3">
        <v>44131</v>
      </c>
      <c r="G432" s="2" t="str">
        <f t="shared" si="18"/>
        <v>October</v>
      </c>
      <c r="H432" s="2" t="str">
        <f t="shared" si="19"/>
        <v>Week 5</v>
      </c>
      <c r="I432" s="2" t="str">
        <f t="shared" si="20"/>
        <v>Quarter 4</v>
      </c>
    </row>
    <row r="433" spans="1:9" x14ac:dyDescent="0.25">
      <c r="A433">
        <v>2000086402</v>
      </c>
      <c r="B433" t="s">
        <v>27</v>
      </c>
      <c r="C433" t="s">
        <v>12</v>
      </c>
      <c r="D433">
        <v>58.35</v>
      </c>
      <c r="F433" s="3">
        <v>44131</v>
      </c>
      <c r="G433" s="2" t="str">
        <f t="shared" si="18"/>
        <v>October</v>
      </c>
      <c r="H433" s="2" t="str">
        <f t="shared" si="19"/>
        <v>Week 5</v>
      </c>
      <c r="I433" s="2" t="str">
        <f t="shared" si="20"/>
        <v>Quarter 4</v>
      </c>
    </row>
    <row r="434" spans="1:9" x14ac:dyDescent="0.25">
      <c r="A434">
        <v>2000086432</v>
      </c>
      <c r="B434" t="s">
        <v>27</v>
      </c>
      <c r="C434" t="s">
        <v>12</v>
      </c>
      <c r="D434">
        <v>46.43</v>
      </c>
      <c r="F434" s="3">
        <v>44131</v>
      </c>
      <c r="G434" s="2" t="str">
        <f t="shared" si="18"/>
        <v>October</v>
      </c>
      <c r="H434" s="2" t="str">
        <f t="shared" si="19"/>
        <v>Week 5</v>
      </c>
      <c r="I434" s="2" t="str">
        <f t="shared" si="20"/>
        <v>Quarter 4</v>
      </c>
    </row>
    <row r="435" spans="1:9" x14ac:dyDescent="0.25">
      <c r="A435">
        <v>2000086535</v>
      </c>
      <c r="B435" t="s">
        <v>27</v>
      </c>
      <c r="C435" t="s">
        <v>9</v>
      </c>
      <c r="D435">
        <v>248</v>
      </c>
      <c r="F435" s="3">
        <v>44131</v>
      </c>
      <c r="G435" s="2" t="str">
        <f t="shared" si="18"/>
        <v>October</v>
      </c>
      <c r="H435" s="2" t="str">
        <f t="shared" si="19"/>
        <v>Week 5</v>
      </c>
      <c r="I435" s="2" t="str">
        <f t="shared" si="20"/>
        <v>Quarter 4</v>
      </c>
    </row>
    <row r="436" spans="1:9" x14ac:dyDescent="0.25">
      <c r="A436">
        <v>2000086296</v>
      </c>
      <c r="B436" t="s">
        <v>27</v>
      </c>
      <c r="C436" t="s">
        <v>18</v>
      </c>
      <c r="D436">
        <v>419.05</v>
      </c>
      <c r="F436" s="3">
        <v>44131</v>
      </c>
      <c r="G436" s="2" t="str">
        <f t="shared" si="18"/>
        <v>October</v>
      </c>
      <c r="H436" s="2" t="str">
        <f t="shared" si="19"/>
        <v>Week 5</v>
      </c>
      <c r="I436" s="2" t="str">
        <f t="shared" si="20"/>
        <v>Quarter 4</v>
      </c>
    </row>
    <row r="437" spans="1:9" x14ac:dyDescent="0.25">
      <c r="A437">
        <v>2000086324</v>
      </c>
      <c r="B437" t="s">
        <v>27</v>
      </c>
      <c r="C437" t="s">
        <v>12</v>
      </c>
      <c r="D437">
        <v>118.65</v>
      </c>
      <c r="F437" s="3">
        <v>44131</v>
      </c>
      <c r="G437" s="2" t="str">
        <f t="shared" si="18"/>
        <v>October</v>
      </c>
      <c r="H437" s="2" t="str">
        <f t="shared" si="19"/>
        <v>Week 5</v>
      </c>
      <c r="I437" s="2" t="str">
        <f t="shared" si="20"/>
        <v>Quarter 4</v>
      </c>
    </row>
    <row r="438" spans="1:9" x14ac:dyDescent="0.25">
      <c r="A438">
        <v>2000086536</v>
      </c>
      <c r="B438" t="s">
        <v>27</v>
      </c>
      <c r="C438" t="s">
        <v>9</v>
      </c>
      <c r="D438">
        <v>50.3</v>
      </c>
      <c r="F438" s="3">
        <v>44131</v>
      </c>
      <c r="G438" s="2" t="str">
        <f t="shared" si="18"/>
        <v>October</v>
      </c>
      <c r="H438" s="2" t="str">
        <f t="shared" si="19"/>
        <v>Week 5</v>
      </c>
      <c r="I438" s="2" t="str">
        <f t="shared" si="20"/>
        <v>Quarter 4</v>
      </c>
    </row>
    <row r="439" spans="1:9" x14ac:dyDescent="0.25">
      <c r="A439">
        <v>2000086474</v>
      </c>
      <c r="B439" t="s">
        <v>27</v>
      </c>
      <c r="C439" t="s">
        <v>12</v>
      </c>
      <c r="D439">
        <v>73.8</v>
      </c>
      <c r="F439" s="3">
        <v>44131</v>
      </c>
      <c r="G439" s="2" t="str">
        <f t="shared" si="18"/>
        <v>October</v>
      </c>
      <c r="H439" s="2" t="str">
        <f t="shared" si="19"/>
        <v>Week 5</v>
      </c>
      <c r="I439" s="2" t="str">
        <f t="shared" si="20"/>
        <v>Quarter 4</v>
      </c>
    </row>
    <row r="440" spans="1:9" x14ac:dyDescent="0.25">
      <c r="A440">
        <v>2000086382</v>
      </c>
      <c r="B440" t="s">
        <v>27</v>
      </c>
      <c r="C440" t="s">
        <v>18</v>
      </c>
      <c r="D440">
        <v>142.19999999999999</v>
      </c>
      <c r="F440" s="3">
        <v>44131</v>
      </c>
      <c r="G440" s="2" t="str">
        <f t="shared" si="18"/>
        <v>October</v>
      </c>
      <c r="H440" s="2" t="str">
        <f t="shared" si="19"/>
        <v>Week 5</v>
      </c>
      <c r="I440" s="2" t="str">
        <f t="shared" si="20"/>
        <v>Quarter 4</v>
      </c>
    </row>
    <row r="441" spans="1:9" x14ac:dyDescent="0.25">
      <c r="A441">
        <v>2000086434</v>
      </c>
      <c r="B441" t="s">
        <v>27</v>
      </c>
      <c r="C441" t="s">
        <v>12</v>
      </c>
      <c r="D441">
        <v>56.85</v>
      </c>
      <c r="F441" s="3">
        <v>44131</v>
      </c>
      <c r="G441" s="2" t="str">
        <f t="shared" si="18"/>
        <v>October</v>
      </c>
      <c r="H441" s="2" t="str">
        <f t="shared" si="19"/>
        <v>Week 5</v>
      </c>
      <c r="I441" s="2" t="str">
        <f t="shared" si="20"/>
        <v>Quarter 4</v>
      </c>
    </row>
    <row r="442" spans="1:9" x14ac:dyDescent="0.25">
      <c r="A442">
        <v>2000086475</v>
      </c>
      <c r="B442" t="s">
        <v>27</v>
      </c>
      <c r="C442" t="s">
        <v>12</v>
      </c>
      <c r="D442">
        <v>283.45</v>
      </c>
      <c r="F442" s="3">
        <v>44131</v>
      </c>
      <c r="G442" s="2" t="str">
        <f t="shared" si="18"/>
        <v>October</v>
      </c>
      <c r="H442" s="2" t="str">
        <f t="shared" si="19"/>
        <v>Week 5</v>
      </c>
      <c r="I442" s="2" t="str">
        <f t="shared" si="20"/>
        <v>Quarter 4</v>
      </c>
    </row>
    <row r="443" spans="1:9" x14ac:dyDescent="0.25">
      <c r="A443">
        <v>2000086476</v>
      </c>
      <c r="B443" t="s">
        <v>27</v>
      </c>
      <c r="C443" t="s">
        <v>12</v>
      </c>
      <c r="D443">
        <v>31.15</v>
      </c>
      <c r="F443" s="3">
        <v>44131</v>
      </c>
      <c r="G443" s="2" t="str">
        <f t="shared" si="18"/>
        <v>October</v>
      </c>
      <c r="H443" s="2" t="str">
        <f t="shared" si="19"/>
        <v>Week 5</v>
      </c>
      <c r="I443" s="2" t="str">
        <f t="shared" si="20"/>
        <v>Quarter 4</v>
      </c>
    </row>
    <row r="444" spans="1:9" x14ac:dyDescent="0.25">
      <c r="A444">
        <v>2000086355</v>
      </c>
      <c r="B444" t="s">
        <v>27</v>
      </c>
      <c r="C444" t="s">
        <v>18</v>
      </c>
      <c r="D444">
        <v>236.4</v>
      </c>
      <c r="F444" s="3">
        <v>44131</v>
      </c>
      <c r="G444" s="2" t="str">
        <f t="shared" si="18"/>
        <v>October</v>
      </c>
      <c r="H444" s="2" t="str">
        <f t="shared" si="19"/>
        <v>Week 5</v>
      </c>
      <c r="I444" s="2" t="str">
        <f t="shared" si="20"/>
        <v>Quarter 4</v>
      </c>
    </row>
    <row r="445" spans="1:9" x14ac:dyDescent="0.25">
      <c r="A445">
        <v>2000086366</v>
      </c>
      <c r="B445" t="s">
        <v>27</v>
      </c>
      <c r="C445" t="s">
        <v>18</v>
      </c>
      <c r="D445">
        <v>199.45</v>
      </c>
      <c r="F445" s="3">
        <v>44131</v>
      </c>
      <c r="G445" s="2" t="str">
        <f t="shared" si="18"/>
        <v>October</v>
      </c>
      <c r="H445" s="2" t="str">
        <f t="shared" si="19"/>
        <v>Week 5</v>
      </c>
      <c r="I445" s="2" t="str">
        <f t="shared" si="20"/>
        <v>Quarter 4</v>
      </c>
    </row>
    <row r="446" spans="1:9" x14ac:dyDescent="0.25">
      <c r="A446">
        <v>2000086477</v>
      </c>
      <c r="B446" t="s">
        <v>27</v>
      </c>
      <c r="C446" t="s">
        <v>12</v>
      </c>
      <c r="D446">
        <v>33.799999999999997</v>
      </c>
      <c r="F446" s="3">
        <v>44131</v>
      </c>
      <c r="G446" s="2" t="str">
        <f t="shared" si="18"/>
        <v>October</v>
      </c>
      <c r="H446" s="2" t="str">
        <f t="shared" si="19"/>
        <v>Week 5</v>
      </c>
      <c r="I446" s="2" t="str">
        <f t="shared" si="20"/>
        <v>Quarter 4</v>
      </c>
    </row>
    <row r="447" spans="1:9" x14ac:dyDescent="0.25">
      <c r="A447">
        <v>2000086477</v>
      </c>
      <c r="B447" t="s">
        <v>27</v>
      </c>
      <c r="C447" t="s">
        <v>12</v>
      </c>
      <c r="D447">
        <v>4.0999999999999996</v>
      </c>
      <c r="F447" s="3">
        <v>44131</v>
      </c>
      <c r="G447" s="2" t="str">
        <f t="shared" si="18"/>
        <v>October</v>
      </c>
      <c r="H447" s="2" t="str">
        <f t="shared" si="19"/>
        <v>Week 5</v>
      </c>
      <c r="I447" s="2" t="str">
        <f t="shared" si="20"/>
        <v>Quarter 4</v>
      </c>
    </row>
    <row r="448" spans="1:9" x14ac:dyDescent="0.25">
      <c r="A448">
        <v>2000086537</v>
      </c>
      <c r="B448" t="s">
        <v>27</v>
      </c>
      <c r="C448" t="s">
        <v>9</v>
      </c>
      <c r="D448">
        <v>61.25</v>
      </c>
      <c r="F448" s="3">
        <v>44131</v>
      </c>
      <c r="G448" s="2" t="str">
        <f t="shared" si="18"/>
        <v>October</v>
      </c>
      <c r="H448" s="2" t="str">
        <f t="shared" si="19"/>
        <v>Week 5</v>
      </c>
      <c r="I448" s="2" t="str">
        <f t="shared" si="20"/>
        <v>Quarter 4</v>
      </c>
    </row>
    <row r="449" spans="1:9" x14ac:dyDescent="0.25">
      <c r="A449">
        <v>2000086478</v>
      </c>
      <c r="B449" t="s">
        <v>27</v>
      </c>
      <c r="C449" t="s">
        <v>12</v>
      </c>
      <c r="D449">
        <v>67.599999999999994</v>
      </c>
      <c r="F449" s="3">
        <v>44131</v>
      </c>
      <c r="G449" s="2" t="str">
        <f t="shared" si="18"/>
        <v>October</v>
      </c>
      <c r="H449" s="2" t="str">
        <f t="shared" si="19"/>
        <v>Week 5</v>
      </c>
      <c r="I449" s="2" t="str">
        <f t="shared" si="20"/>
        <v>Quarter 4</v>
      </c>
    </row>
    <row r="450" spans="1:9" x14ac:dyDescent="0.25">
      <c r="A450">
        <v>2000086395</v>
      </c>
      <c r="B450" t="s">
        <v>27</v>
      </c>
      <c r="C450" t="s">
        <v>12</v>
      </c>
      <c r="D450">
        <v>64.150000000000006</v>
      </c>
      <c r="F450" s="3">
        <v>44131</v>
      </c>
      <c r="G450" s="2" t="str">
        <f t="shared" si="18"/>
        <v>October</v>
      </c>
      <c r="H450" s="2" t="str">
        <f t="shared" si="19"/>
        <v>Week 5</v>
      </c>
      <c r="I450" s="2" t="str">
        <f t="shared" si="20"/>
        <v>Quarter 4</v>
      </c>
    </row>
    <row r="451" spans="1:9" x14ac:dyDescent="0.25">
      <c r="A451">
        <v>2000086538</v>
      </c>
      <c r="B451" t="s">
        <v>27</v>
      </c>
      <c r="C451" t="s">
        <v>9</v>
      </c>
      <c r="D451">
        <v>67</v>
      </c>
      <c r="F451" s="3">
        <v>44131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5</v>
      </c>
      <c r="I451" s="2" t="str">
        <f t="shared" ref="I451:I514" si="23">"Quarter " &amp; ROUNDUP((MONTH(F451))/3,0)</f>
        <v>Quarter 4</v>
      </c>
    </row>
    <row r="452" spans="1:9" x14ac:dyDescent="0.25">
      <c r="A452">
        <v>2000086290</v>
      </c>
      <c r="B452" t="s">
        <v>27</v>
      </c>
      <c r="C452" t="s">
        <v>18</v>
      </c>
      <c r="D452">
        <v>454.95</v>
      </c>
      <c r="F452" s="3">
        <v>44131</v>
      </c>
      <c r="G452" s="2" t="str">
        <f t="shared" si="21"/>
        <v>October</v>
      </c>
      <c r="H452" s="2" t="str">
        <f t="shared" si="22"/>
        <v>Week 5</v>
      </c>
      <c r="I452" s="2" t="str">
        <f t="shared" si="23"/>
        <v>Quarter 4</v>
      </c>
    </row>
    <row r="453" spans="1:9" x14ac:dyDescent="0.25">
      <c r="A453">
        <v>2000086298</v>
      </c>
      <c r="B453" t="s">
        <v>27</v>
      </c>
      <c r="C453" t="s">
        <v>12</v>
      </c>
      <c r="D453">
        <v>39.299999999999997</v>
      </c>
      <c r="F453" s="3">
        <v>44131</v>
      </c>
      <c r="G453" s="2" t="str">
        <f t="shared" si="21"/>
        <v>October</v>
      </c>
      <c r="H453" s="2" t="str">
        <f t="shared" si="22"/>
        <v>Week 5</v>
      </c>
      <c r="I453" s="2" t="str">
        <f t="shared" si="23"/>
        <v>Quarter 4</v>
      </c>
    </row>
    <row r="454" spans="1:9" x14ac:dyDescent="0.25">
      <c r="A454">
        <v>2000086298</v>
      </c>
      <c r="B454" t="s">
        <v>27</v>
      </c>
      <c r="C454" t="s">
        <v>12</v>
      </c>
      <c r="D454">
        <v>23.2</v>
      </c>
      <c r="F454" s="3">
        <v>44131</v>
      </c>
      <c r="G454" s="2" t="str">
        <f t="shared" si="21"/>
        <v>October</v>
      </c>
      <c r="H454" s="2" t="str">
        <f t="shared" si="22"/>
        <v>Week 5</v>
      </c>
      <c r="I454" s="2" t="str">
        <f t="shared" si="23"/>
        <v>Quarter 4</v>
      </c>
    </row>
    <row r="455" spans="1:9" x14ac:dyDescent="0.25">
      <c r="A455">
        <v>2000086539</v>
      </c>
      <c r="B455" t="s">
        <v>27</v>
      </c>
      <c r="C455" t="s">
        <v>9</v>
      </c>
      <c r="D455">
        <v>39.1</v>
      </c>
      <c r="F455" s="3">
        <v>44131</v>
      </c>
      <c r="G455" s="2" t="str">
        <f t="shared" si="21"/>
        <v>October</v>
      </c>
      <c r="H455" s="2" t="str">
        <f t="shared" si="22"/>
        <v>Week 5</v>
      </c>
      <c r="I455" s="2" t="str">
        <f t="shared" si="23"/>
        <v>Quarter 4</v>
      </c>
    </row>
    <row r="456" spans="1:9" x14ac:dyDescent="0.25">
      <c r="A456">
        <v>2000086540</v>
      </c>
      <c r="B456" t="s">
        <v>27</v>
      </c>
      <c r="C456" t="s">
        <v>9</v>
      </c>
      <c r="D456">
        <v>5.6</v>
      </c>
      <c r="F456" s="3">
        <v>44131</v>
      </c>
      <c r="G456" s="2" t="str">
        <f t="shared" si="21"/>
        <v>October</v>
      </c>
      <c r="H456" s="2" t="str">
        <f t="shared" si="22"/>
        <v>Week 5</v>
      </c>
      <c r="I456" s="2" t="str">
        <f t="shared" si="23"/>
        <v>Quarter 4</v>
      </c>
    </row>
    <row r="457" spans="1:9" x14ac:dyDescent="0.25">
      <c r="A457">
        <v>2000086541</v>
      </c>
      <c r="B457" t="s">
        <v>27</v>
      </c>
      <c r="C457" t="s">
        <v>9</v>
      </c>
      <c r="D457">
        <v>81.3</v>
      </c>
      <c r="F457" s="3">
        <v>44131</v>
      </c>
      <c r="G457" s="2" t="str">
        <f t="shared" si="21"/>
        <v>October</v>
      </c>
      <c r="H457" s="2" t="str">
        <f t="shared" si="22"/>
        <v>Week 5</v>
      </c>
      <c r="I457" s="2" t="str">
        <f t="shared" si="23"/>
        <v>Quarter 4</v>
      </c>
    </row>
    <row r="458" spans="1:9" x14ac:dyDescent="0.25">
      <c r="A458">
        <v>2000086542</v>
      </c>
      <c r="B458" t="s">
        <v>27</v>
      </c>
      <c r="C458" t="s">
        <v>9</v>
      </c>
      <c r="D458">
        <v>49</v>
      </c>
      <c r="F458" s="3">
        <v>44131</v>
      </c>
      <c r="G458" s="2" t="str">
        <f t="shared" si="21"/>
        <v>October</v>
      </c>
      <c r="H458" s="2" t="str">
        <f t="shared" si="22"/>
        <v>Week 5</v>
      </c>
      <c r="I458" s="2" t="str">
        <f t="shared" si="23"/>
        <v>Quarter 4</v>
      </c>
    </row>
    <row r="459" spans="1:9" x14ac:dyDescent="0.25">
      <c r="A459">
        <v>2000086304</v>
      </c>
      <c r="B459" t="s">
        <v>27</v>
      </c>
      <c r="C459" t="s">
        <v>18</v>
      </c>
      <c r="D459">
        <v>367.65</v>
      </c>
      <c r="F459" s="3">
        <v>44131</v>
      </c>
      <c r="G459" s="2" t="str">
        <f t="shared" si="21"/>
        <v>October</v>
      </c>
      <c r="H459" s="2" t="str">
        <f t="shared" si="22"/>
        <v>Week 5</v>
      </c>
      <c r="I459" s="2" t="str">
        <f t="shared" si="23"/>
        <v>Quarter 4</v>
      </c>
    </row>
    <row r="460" spans="1:9" x14ac:dyDescent="0.25">
      <c r="A460">
        <v>2000086516</v>
      </c>
      <c r="B460" t="s">
        <v>27</v>
      </c>
      <c r="C460" t="s">
        <v>22</v>
      </c>
      <c r="D460">
        <v>2020</v>
      </c>
      <c r="F460" s="3">
        <v>44131</v>
      </c>
      <c r="G460" s="2" t="str">
        <f t="shared" si="21"/>
        <v>October</v>
      </c>
      <c r="H460" s="2" t="str">
        <f t="shared" si="22"/>
        <v>Week 5</v>
      </c>
      <c r="I460" s="2" t="str">
        <f t="shared" si="23"/>
        <v>Quarter 4</v>
      </c>
    </row>
    <row r="461" spans="1:9" x14ac:dyDescent="0.25">
      <c r="A461">
        <v>2000086444</v>
      </c>
      <c r="B461" t="s">
        <v>27</v>
      </c>
      <c r="C461" t="s">
        <v>21</v>
      </c>
      <c r="D461">
        <v>38.6</v>
      </c>
      <c r="F461" s="3">
        <v>44131</v>
      </c>
      <c r="G461" s="2" t="str">
        <f t="shared" si="21"/>
        <v>October</v>
      </c>
      <c r="H461" s="2" t="str">
        <f t="shared" si="22"/>
        <v>Week 5</v>
      </c>
      <c r="I461" s="2" t="str">
        <f t="shared" si="23"/>
        <v>Quarter 4</v>
      </c>
    </row>
    <row r="462" spans="1:9" x14ac:dyDescent="0.25">
      <c r="A462">
        <v>2000086359</v>
      </c>
      <c r="B462" t="s">
        <v>27</v>
      </c>
      <c r="C462" t="s">
        <v>12</v>
      </c>
      <c r="D462">
        <v>137.80000000000001</v>
      </c>
      <c r="F462" s="3">
        <v>44131</v>
      </c>
      <c r="G462" s="2" t="str">
        <f t="shared" si="21"/>
        <v>October</v>
      </c>
      <c r="H462" s="2" t="str">
        <f t="shared" si="22"/>
        <v>Week 5</v>
      </c>
      <c r="I462" s="2" t="str">
        <f t="shared" si="23"/>
        <v>Quarter 4</v>
      </c>
    </row>
    <row r="463" spans="1:9" x14ac:dyDescent="0.25">
      <c r="A463">
        <v>2000086543</v>
      </c>
      <c r="B463" t="s">
        <v>27</v>
      </c>
      <c r="C463" t="s">
        <v>9</v>
      </c>
      <c r="D463">
        <v>7.8</v>
      </c>
      <c r="F463" s="3">
        <v>44131</v>
      </c>
      <c r="G463" s="2" t="str">
        <f t="shared" si="21"/>
        <v>October</v>
      </c>
      <c r="H463" s="2" t="str">
        <f t="shared" si="22"/>
        <v>Week 5</v>
      </c>
      <c r="I463" s="2" t="str">
        <f t="shared" si="23"/>
        <v>Quarter 4</v>
      </c>
    </row>
    <row r="464" spans="1:9" x14ac:dyDescent="0.25">
      <c r="A464">
        <v>2000086224</v>
      </c>
      <c r="B464" t="s">
        <v>27</v>
      </c>
      <c r="C464" t="s">
        <v>20</v>
      </c>
      <c r="D464">
        <v>12.25</v>
      </c>
      <c r="F464" s="3">
        <v>44131</v>
      </c>
      <c r="G464" s="2" t="str">
        <f t="shared" si="21"/>
        <v>October</v>
      </c>
      <c r="H464" s="2" t="str">
        <f t="shared" si="22"/>
        <v>Week 5</v>
      </c>
      <c r="I464" s="2" t="str">
        <f t="shared" si="23"/>
        <v>Quarter 4</v>
      </c>
    </row>
    <row r="465" spans="1:9" x14ac:dyDescent="0.25">
      <c r="A465">
        <v>2000086383</v>
      </c>
      <c r="B465" t="s">
        <v>27</v>
      </c>
      <c r="C465" t="s">
        <v>18</v>
      </c>
      <c r="D465">
        <v>141.9</v>
      </c>
      <c r="F465" s="3">
        <v>44131</v>
      </c>
      <c r="G465" s="2" t="str">
        <f t="shared" si="21"/>
        <v>October</v>
      </c>
      <c r="H465" s="2" t="str">
        <f t="shared" si="22"/>
        <v>Week 5</v>
      </c>
      <c r="I465" s="2" t="str">
        <f t="shared" si="23"/>
        <v>Quarter 4</v>
      </c>
    </row>
    <row r="466" spans="1:9" x14ac:dyDescent="0.25">
      <c r="A466">
        <v>2000086544</v>
      </c>
      <c r="B466" t="s">
        <v>27</v>
      </c>
      <c r="C466" t="s">
        <v>9</v>
      </c>
      <c r="D466">
        <v>30.45</v>
      </c>
      <c r="F466" s="3">
        <v>44131</v>
      </c>
      <c r="G466" s="2" t="str">
        <f t="shared" si="21"/>
        <v>October</v>
      </c>
      <c r="H466" s="2" t="str">
        <f t="shared" si="22"/>
        <v>Week 5</v>
      </c>
      <c r="I466" s="2" t="str">
        <f t="shared" si="23"/>
        <v>Quarter 4</v>
      </c>
    </row>
    <row r="467" spans="1:9" x14ac:dyDescent="0.25">
      <c r="A467">
        <v>2000086292</v>
      </c>
      <c r="B467" t="s">
        <v>27</v>
      </c>
      <c r="C467" t="s">
        <v>18</v>
      </c>
      <c r="D467">
        <v>427.9</v>
      </c>
      <c r="F467" s="3">
        <v>44131</v>
      </c>
      <c r="G467" s="2" t="str">
        <f t="shared" si="21"/>
        <v>October</v>
      </c>
      <c r="H467" s="2" t="str">
        <f t="shared" si="22"/>
        <v>Week 5</v>
      </c>
      <c r="I467" s="2" t="str">
        <f t="shared" si="23"/>
        <v>Quarter 4</v>
      </c>
    </row>
    <row r="468" spans="1:9" x14ac:dyDescent="0.25">
      <c r="A468">
        <v>2000086349</v>
      </c>
      <c r="B468" t="s">
        <v>27</v>
      </c>
      <c r="C468" t="s">
        <v>12</v>
      </c>
      <c r="D468">
        <v>132.65</v>
      </c>
      <c r="F468" s="3">
        <v>44131</v>
      </c>
      <c r="G468" s="2" t="str">
        <f t="shared" si="21"/>
        <v>October</v>
      </c>
      <c r="H468" s="2" t="str">
        <f t="shared" si="22"/>
        <v>Week 5</v>
      </c>
      <c r="I468" s="2" t="str">
        <f t="shared" si="23"/>
        <v>Quarter 4</v>
      </c>
    </row>
    <row r="469" spans="1:9" x14ac:dyDescent="0.25">
      <c r="A469">
        <v>2000086545</v>
      </c>
      <c r="B469" t="s">
        <v>27</v>
      </c>
      <c r="C469" t="s">
        <v>9</v>
      </c>
      <c r="D469">
        <v>282.64999999999998</v>
      </c>
      <c r="F469" s="3">
        <v>44131</v>
      </c>
      <c r="G469" s="2" t="str">
        <f t="shared" si="21"/>
        <v>October</v>
      </c>
      <c r="H469" s="2" t="str">
        <f t="shared" si="22"/>
        <v>Week 5</v>
      </c>
      <c r="I469" s="2" t="str">
        <f t="shared" si="23"/>
        <v>Quarter 4</v>
      </c>
    </row>
    <row r="470" spans="1:9" x14ac:dyDescent="0.25">
      <c r="A470">
        <v>2000086546</v>
      </c>
      <c r="B470" t="s">
        <v>27</v>
      </c>
      <c r="C470" t="s">
        <v>9</v>
      </c>
      <c r="D470">
        <v>30.9</v>
      </c>
      <c r="F470" s="3">
        <v>44131</v>
      </c>
      <c r="G470" s="2" t="str">
        <f t="shared" si="21"/>
        <v>October</v>
      </c>
      <c r="H470" s="2" t="str">
        <f t="shared" si="22"/>
        <v>Week 5</v>
      </c>
      <c r="I470" s="2" t="str">
        <f t="shared" si="23"/>
        <v>Quarter 4</v>
      </c>
    </row>
    <row r="471" spans="1:9" x14ac:dyDescent="0.25">
      <c r="A471">
        <v>2000086547</v>
      </c>
      <c r="B471" t="s">
        <v>27</v>
      </c>
      <c r="C471" t="s">
        <v>9</v>
      </c>
      <c r="D471">
        <v>15.5</v>
      </c>
      <c r="F471" s="3">
        <v>44131</v>
      </c>
      <c r="G471" s="2" t="str">
        <f t="shared" si="21"/>
        <v>October</v>
      </c>
      <c r="H471" s="2" t="str">
        <f t="shared" si="22"/>
        <v>Week 5</v>
      </c>
      <c r="I471" s="2" t="str">
        <f t="shared" si="23"/>
        <v>Quarter 4</v>
      </c>
    </row>
    <row r="472" spans="1:9" x14ac:dyDescent="0.25">
      <c r="A472">
        <v>2000086548</v>
      </c>
      <c r="B472" t="s">
        <v>27</v>
      </c>
      <c r="C472" t="s">
        <v>9</v>
      </c>
      <c r="D472">
        <v>15.55</v>
      </c>
      <c r="F472" s="3">
        <v>44131</v>
      </c>
      <c r="G472" s="2" t="str">
        <f t="shared" si="21"/>
        <v>October</v>
      </c>
      <c r="H472" s="2" t="str">
        <f t="shared" si="22"/>
        <v>Week 5</v>
      </c>
      <c r="I472" s="2" t="str">
        <f t="shared" si="23"/>
        <v>Quarter 4</v>
      </c>
    </row>
    <row r="473" spans="1:9" x14ac:dyDescent="0.25">
      <c r="A473">
        <v>2000086445</v>
      </c>
      <c r="B473" t="s">
        <v>27</v>
      </c>
      <c r="C473" t="s">
        <v>21</v>
      </c>
      <c r="D473">
        <v>93.85</v>
      </c>
      <c r="F473" s="3">
        <v>44131</v>
      </c>
      <c r="G473" s="2" t="str">
        <f t="shared" si="21"/>
        <v>October</v>
      </c>
      <c r="H473" s="2" t="str">
        <f t="shared" si="22"/>
        <v>Week 5</v>
      </c>
      <c r="I473" s="2" t="str">
        <f t="shared" si="23"/>
        <v>Quarter 4</v>
      </c>
    </row>
    <row r="474" spans="1:9" x14ac:dyDescent="0.25">
      <c r="A474">
        <v>2000086353</v>
      </c>
      <c r="B474" t="s">
        <v>27</v>
      </c>
      <c r="C474" t="s">
        <v>18</v>
      </c>
      <c r="D474">
        <v>237.25</v>
      </c>
      <c r="F474" s="3">
        <v>44131</v>
      </c>
      <c r="G474" s="2" t="str">
        <f t="shared" si="21"/>
        <v>October</v>
      </c>
      <c r="H474" s="2" t="str">
        <f t="shared" si="22"/>
        <v>Week 5</v>
      </c>
      <c r="I474" s="2" t="str">
        <f t="shared" si="23"/>
        <v>Quarter 4</v>
      </c>
    </row>
    <row r="475" spans="1:9" x14ac:dyDescent="0.25">
      <c r="A475">
        <v>2000086348</v>
      </c>
      <c r="B475" t="s">
        <v>27</v>
      </c>
      <c r="C475" t="s">
        <v>12</v>
      </c>
      <c r="D475">
        <v>129.30000000000001</v>
      </c>
      <c r="F475" s="3">
        <v>44131</v>
      </c>
      <c r="G475" s="2" t="str">
        <f t="shared" si="21"/>
        <v>October</v>
      </c>
      <c r="H475" s="2" t="str">
        <f t="shared" si="22"/>
        <v>Week 5</v>
      </c>
      <c r="I475" s="2" t="str">
        <f t="shared" si="23"/>
        <v>Quarter 4</v>
      </c>
    </row>
    <row r="476" spans="1:9" x14ac:dyDescent="0.25">
      <c r="A476">
        <v>2000086549</v>
      </c>
      <c r="B476" t="s">
        <v>27</v>
      </c>
      <c r="C476" t="s">
        <v>9</v>
      </c>
      <c r="D476">
        <v>15.65</v>
      </c>
      <c r="F476" s="3">
        <v>44131</v>
      </c>
      <c r="G476" s="2" t="str">
        <f t="shared" si="21"/>
        <v>October</v>
      </c>
      <c r="H476" s="2" t="str">
        <f t="shared" si="22"/>
        <v>Week 5</v>
      </c>
      <c r="I476" s="2" t="str">
        <f t="shared" si="23"/>
        <v>Quarter 4</v>
      </c>
    </row>
    <row r="477" spans="1:9" x14ac:dyDescent="0.25">
      <c r="A477">
        <v>2000086420</v>
      </c>
      <c r="B477" t="s">
        <v>27</v>
      </c>
      <c r="C477" t="s">
        <v>11</v>
      </c>
      <c r="D477">
        <v>46.7</v>
      </c>
      <c r="F477" s="3">
        <v>44131</v>
      </c>
      <c r="G477" s="2" t="str">
        <f t="shared" si="21"/>
        <v>October</v>
      </c>
      <c r="H477" s="2" t="str">
        <f t="shared" si="22"/>
        <v>Week 5</v>
      </c>
      <c r="I477" s="2" t="str">
        <f t="shared" si="23"/>
        <v>Quarter 4</v>
      </c>
    </row>
    <row r="478" spans="1:9" x14ac:dyDescent="0.25">
      <c r="A478">
        <v>2000086274</v>
      </c>
      <c r="B478" t="s">
        <v>27</v>
      </c>
      <c r="C478" t="s">
        <v>18</v>
      </c>
      <c r="D478">
        <v>608.20000000000005</v>
      </c>
      <c r="F478" s="3">
        <v>44131</v>
      </c>
      <c r="G478" s="2" t="str">
        <f t="shared" si="21"/>
        <v>October</v>
      </c>
      <c r="H478" s="2" t="str">
        <f t="shared" si="22"/>
        <v>Week 5</v>
      </c>
      <c r="I478" s="2" t="str">
        <f t="shared" si="23"/>
        <v>Quarter 4</v>
      </c>
    </row>
    <row r="479" spans="1:9" x14ac:dyDescent="0.25">
      <c r="A479">
        <v>2000086479</v>
      </c>
      <c r="B479" t="s">
        <v>27</v>
      </c>
      <c r="C479" t="s">
        <v>12</v>
      </c>
      <c r="D479">
        <v>80.3</v>
      </c>
      <c r="F479" s="3">
        <v>44131</v>
      </c>
      <c r="G479" s="2" t="str">
        <f t="shared" si="21"/>
        <v>October</v>
      </c>
      <c r="H479" s="2" t="str">
        <f t="shared" si="22"/>
        <v>Week 5</v>
      </c>
      <c r="I479" s="2" t="str">
        <f t="shared" si="23"/>
        <v>Quarter 4</v>
      </c>
    </row>
    <row r="480" spans="1:9" x14ac:dyDescent="0.25">
      <c r="A480">
        <v>2000086345</v>
      </c>
      <c r="B480" t="s">
        <v>27</v>
      </c>
      <c r="C480" t="s">
        <v>18</v>
      </c>
      <c r="D480">
        <v>250.85</v>
      </c>
      <c r="F480" s="3">
        <v>44131</v>
      </c>
      <c r="G480" s="2" t="str">
        <f t="shared" si="21"/>
        <v>October</v>
      </c>
      <c r="H480" s="2" t="str">
        <f t="shared" si="22"/>
        <v>Week 5</v>
      </c>
      <c r="I480" s="2" t="str">
        <f t="shared" si="23"/>
        <v>Quarter 4</v>
      </c>
    </row>
    <row r="481" spans="1:9" x14ac:dyDescent="0.25">
      <c r="A481">
        <v>2000086346</v>
      </c>
      <c r="B481" t="s">
        <v>27</v>
      </c>
      <c r="C481" t="s">
        <v>18</v>
      </c>
      <c r="D481">
        <v>175.4</v>
      </c>
      <c r="F481" s="3">
        <v>44131</v>
      </c>
      <c r="G481" s="2" t="str">
        <f t="shared" si="21"/>
        <v>October</v>
      </c>
      <c r="H481" s="2" t="str">
        <f t="shared" si="22"/>
        <v>Week 5</v>
      </c>
      <c r="I481" s="2" t="str">
        <f t="shared" si="23"/>
        <v>Quarter 4</v>
      </c>
    </row>
    <row r="482" spans="1:9" x14ac:dyDescent="0.25">
      <c r="A482">
        <v>2000086424</v>
      </c>
      <c r="B482" t="s">
        <v>27</v>
      </c>
      <c r="C482" t="s">
        <v>12</v>
      </c>
      <c r="D482">
        <v>43</v>
      </c>
      <c r="F482" s="3">
        <v>44131</v>
      </c>
      <c r="G482" s="2" t="str">
        <f t="shared" si="21"/>
        <v>October</v>
      </c>
      <c r="H482" s="2" t="str">
        <f t="shared" si="22"/>
        <v>Week 5</v>
      </c>
      <c r="I482" s="2" t="str">
        <f t="shared" si="23"/>
        <v>Quarter 4</v>
      </c>
    </row>
    <row r="483" spans="1:9" x14ac:dyDescent="0.25">
      <c r="A483">
        <v>2000086294</v>
      </c>
      <c r="B483" t="s">
        <v>27</v>
      </c>
      <c r="C483" t="s">
        <v>18</v>
      </c>
      <c r="D483">
        <v>420</v>
      </c>
      <c r="F483" s="3">
        <v>44131</v>
      </c>
      <c r="G483" s="2" t="str">
        <f t="shared" si="21"/>
        <v>October</v>
      </c>
      <c r="H483" s="2" t="str">
        <f t="shared" si="22"/>
        <v>Week 5</v>
      </c>
      <c r="I483" s="2" t="str">
        <f t="shared" si="23"/>
        <v>Quarter 4</v>
      </c>
    </row>
    <row r="484" spans="1:9" x14ac:dyDescent="0.25">
      <c r="A484">
        <v>2000086550</v>
      </c>
      <c r="B484" t="s">
        <v>27</v>
      </c>
      <c r="C484" t="s">
        <v>9</v>
      </c>
      <c r="D484">
        <v>10.6</v>
      </c>
      <c r="F484" s="3">
        <v>44131</v>
      </c>
      <c r="G484" s="2" t="str">
        <f t="shared" si="21"/>
        <v>October</v>
      </c>
      <c r="H484" s="2" t="str">
        <f t="shared" si="22"/>
        <v>Week 5</v>
      </c>
      <c r="I484" s="2" t="str">
        <f t="shared" si="23"/>
        <v>Quarter 4</v>
      </c>
    </row>
    <row r="485" spans="1:9" x14ac:dyDescent="0.25">
      <c r="A485">
        <v>2000086430</v>
      </c>
      <c r="B485" t="s">
        <v>27</v>
      </c>
      <c r="C485" t="s">
        <v>12</v>
      </c>
      <c r="D485">
        <v>46.1</v>
      </c>
      <c r="F485" s="3">
        <v>44131</v>
      </c>
      <c r="G485" s="2" t="str">
        <f t="shared" si="21"/>
        <v>October</v>
      </c>
      <c r="H485" s="2" t="str">
        <f t="shared" si="22"/>
        <v>Week 5</v>
      </c>
      <c r="I485" s="2" t="str">
        <f t="shared" si="23"/>
        <v>Quarter 4</v>
      </c>
    </row>
    <row r="486" spans="1:9" x14ac:dyDescent="0.25">
      <c r="A486">
        <v>2000086459</v>
      </c>
      <c r="B486" t="s">
        <v>27</v>
      </c>
      <c r="C486" t="s">
        <v>12</v>
      </c>
      <c r="D486">
        <v>46.75</v>
      </c>
      <c r="F486" s="3">
        <v>44131</v>
      </c>
      <c r="G486" s="2" t="str">
        <f t="shared" si="21"/>
        <v>October</v>
      </c>
      <c r="H486" s="2" t="str">
        <f t="shared" si="22"/>
        <v>Week 5</v>
      </c>
      <c r="I486" s="2" t="str">
        <f t="shared" si="23"/>
        <v>Quarter 4</v>
      </c>
    </row>
    <row r="487" spans="1:9" x14ac:dyDescent="0.25">
      <c r="A487">
        <v>2000086551</v>
      </c>
      <c r="B487" t="s">
        <v>27</v>
      </c>
      <c r="C487" t="s">
        <v>9</v>
      </c>
      <c r="D487">
        <v>20.65</v>
      </c>
      <c r="F487" s="3">
        <v>44131</v>
      </c>
      <c r="G487" s="2" t="str">
        <f t="shared" si="21"/>
        <v>October</v>
      </c>
      <c r="H487" s="2" t="str">
        <f t="shared" si="22"/>
        <v>Week 5</v>
      </c>
      <c r="I487" s="2" t="str">
        <f t="shared" si="23"/>
        <v>Quarter 4</v>
      </c>
    </row>
    <row r="488" spans="1:9" x14ac:dyDescent="0.25">
      <c r="A488">
        <v>2000086552</v>
      </c>
      <c r="B488" t="s">
        <v>27</v>
      </c>
      <c r="C488" t="s">
        <v>9</v>
      </c>
      <c r="D488">
        <v>7.8</v>
      </c>
      <c r="F488" s="3">
        <v>44131</v>
      </c>
      <c r="G488" s="2" t="str">
        <f t="shared" si="21"/>
        <v>October</v>
      </c>
      <c r="H488" s="2" t="str">
        <f t="shared" si="22"/>
        <v>Week 5</v>
      </c>
      <c r="I488" s="2" t="str">
        <f t="shared" si="23"/>
        <v>Quarter 4</v>
      </c>
    </row>
    <row r="489" spans="1:9" x14ac:dyDescent="0.25">
      <c r="A489">
        <v>2000086283</v>
      </c>
      <c r="B489" t="s">
        <v>27</v>
      </c>
      <c r="C489" t="s">
        <v>18</v>
      </c>
      <c r="D489">
        <v>499.7</v>
      </c>
      <c r="F489" s="3">
        <v>44131</v>
      </c>
      <c r="G489" s="2" t="str">
        <f t="shared" si="21"/>
        <v>October</v>
      </c>
      <c r="H489" s="2" t="str">
        <f t="shared" si="22"/>
        <v>Week 5</v>
      </c>
      <c r="I489" s="2" t="str">
        <f t="shared" si="23"/>
        <v>Quarter 4</v>
      </c>
    </row>
    <row r="490" spans="1:9" x14ac:dyDescent="0.25">
      <c r="A490">
        <v>2000086553</v>
      </c>
      <c r="B490" t="s">
        <v>27</v>
      </c>
      <c r="C490" t="s">
        <v>9</v>
      </c>
      <c r="D490">
        <v>64.95</v>
      </c>
      <c r="F490" s="3">
        <v>44131</v>
      </c>
      <c r="G490" s="2" t="str">
        <f t="shared" si="21"/>
        <v>October</v>
      </c>
      <c r="H490" s="2" t="str">
        <f t="shared" si="22"/>
        <v>Week 5</v>
      </c>
      <c r="I490" s="2" t="str">
        <f t="shared" si="23"/>
        <v>Quarter 4</v>
      </c>
    </row>
    <row r="491" spans="1:9" x14ac:dyDescent="0.25">
      <c r="A491">
        <v>2000086446</v>
      </c>
      <c r="B491" t="s">
        <v>27</v>
      </c>
      <c r="C491" t="s">
        <v>21</v>
      </c>
      <c r="D491">
        <v>77.55</v>
      </c>
      <c r="F491" s="3">
        <v>44131</v>
      </c>
      <c r="G491" s="2" t="str">
        <f t="shared" si="21"/>
        <v>October</v>
      </c>
      <c r="H491" s="2" t="str">
        <f t="shared" si="22"/>
        <v>Week 5</v>
      </c>
      <c r="I491" s="2" t="str">
        <f t="shared" si="23"/>
        <v>Quarter 4</v>
      </c>
    </row>
    <row r="492" spans="1:9" x14ac:dyDescent="0.25">
      <c r="A492">
        <v>2000086441</v>
      </c>
      <c r="B492" t="s">
        <v>27</v>
      </c>
      <c r="C492" t="s">
        <v>12</v>
      </c>
      <c r="D492">
        <v>52.85</v>
      </c>
      <c r="F492" s="3">
        <v>44131</v>
      </c>
      <c r="G492" s="2" t="str">
        <f t="shared" si="21"/>
        <v>October</v>
      </c>
      <c r="H492" s="2" t="str">
        <f t="shared" si="22"/>
        <v>Week 5</v>
      </c>
      <c r="I492" s="2" t="str">
        <f t="shared" si="23"/>
        <v>Quarter 4</v>
      </c>
    </row>
    <row r="493" spans="1:9" x14ac:dyDescent="0.25">
      <c r="A493">
        <v>2000086554</v>
      </c>
      <c r="B493" t="s">
        <v>27</v>
      </c>
      <c r="C493" t="s">
        <v>9</v>
      </c>
      <c r="D493">
        <v>11.25</v>
      </c>
      <c r="F493" s="3">
        <v>44131</v>
      </c>
      <c r="G493" s="2" t="str">
        <f t="shared" si="21"/>
        <v>October</v>
      </c>
      <c r="H493" s="2" t="str">
        <f t="shared" si="22"/>
        <v>Week 5</v>
      </c>
      <c r="I493" s="2" t="str">
        <f t="shared" si="23"/>
        <v>Quarter 4</v>
      </c>
    </row>
    <row r="494" spans="1:9" x14ac:dyDescent="0.25">
      <c r="A494">
        <v>2000086369</v>
      </c>
      <c r="B494" t="s">
        <v>27</v>
      </c>
      <c r="C494" t="s">
        <v>18</v>
      </c>
      <c r="D494">
        <v>175.6</v>
      </c>
      <c r="F494" s="3">
        <v>44131</v>
      </c>
      <c r="G494" s="2" t="str">
        <f t="shared" si="21"/>
        <v>October</v>
      </c>
      <c r="H494" s="2" t="str">
        <f t="shared" si="22"/>
        <v>Week 5</v>
      </c>
      <c r="I494" s="2" t="str">
        <f t="shared" si="23"/>
        <v>Quarter 4</v>
      </c>
    </row>
    <row r="495" spans="1:9" x14ac:dyDescent="0.25">
      <c r="A495">
        <v>2000086447</v>
      </c>
      <c r="B495" t="s">
        <v>27</v>
      </c>
      <c r="C495" t="s">
        <v>21</v>
      </c>
      <c r="D495">
        <v>16.75</v>
      </c>
      <c r="F495" s="3">
        <v>44131</v>
      </c>
      <c r="G495" s="2" t="str">
        <f t="shared" si="21"/>
        <v>October</v>
      </c>
      <c r="H495" s="2" t="str">
        <f t="shared" si="22"/>
        <v>Week 5</v>
      </c>
      <c r="I495" s="2" t="str">
        <f t="shared" si="23"/>
        <v>Quarter 4</v>
      </c>
    </row>
    <row r="496" spans="1:9" x14ac:dyDescent="0.25">
      <c r="A496">
        <v>2000086280</v>
      </c>
      <c r="B496" t="s">
        <v>27</v>
      </c>
      <c r="C496" t="s">
        <v>18</v>
      </c>
      <c r="D496">
        <v>522.15</v>
      </c>
      <c r="F496" s="3">
        <v>44131</v>
      </c>
      <c r="G496" s="2" t="str">
        <f t="shared" si="21"/>
        <v>October</v>
      </c>
      <c r="H496" s="2" t="str">
        <f t="shared" si="22"/>
        <v>Week 5</v>
      </c>
      <c r="I496" s="2" t="str">
        <f t="shared" si="23"/>
        <v>Quarter 4</v>
      </c>
    </row>
    <row r="497" spans="1:9" x14ac:dyDescent="0.25">
      <c r="A497">
        <v>2000086507</v>
      </c>
      <c r="B497" t="s">
        <v>27</v>
      </c>
      <c r="C497" t="s">
        <v>22</v>
      </c>
      <c r="D497">
        <v>49.55</v>
      </c>
      <c r="F497" s="3">
        <v>44131</v>
      </c>
      <c r="G497" s="2" t="str">
        <f t="shared" si="21"/>
        <v>October</v>
      </c>
      <c r="H497" s="2" t="str">
        <f t="shared" si="22"/>
        <v>Week 5</v>
      </c>
      <c r="I497" s="2" t="str">
        <f t="shared" si="23"/>
        <v>Quarter 4</v>
      </c>
    </row>
    <row r="498" spans="1:9" x14ac:dyDescent="0.25">
      <c r="A498">
        <v>2000086377</v>
      </c>
      <c r="B498" t="s">
        <v>27</v>
      </c>
      <c r="C498" t="s">
        <v>18</v>
      </c>
      <c r="D498">
        <v>167.45</v>
      </c>
      <c r="F498" s="3">
        <v>44131</v>
      </c>
      <c r="G498" s="2" t="str">
        <f t="shared" si="21"/>
        <v>October</v>
      </c>
      <c r="H498" s="2" t="str">
        <f t="shared" si="22"/>
        <v>Week 5</v>
      </c>
      <c r="I498" s="2" t="str">
        <f t="shared" si="23"/>
        <v>Quarter 4</v>
      </c>
    </row>
    <row r="499" spans="1:9" x14ac:dyDescent="0.25">
      <c r="A499">
        <v>2000086305</v>
      </c>
      <c r="B499" t="s">
        <v>27</v>
      </c>
      <c r="C499" t="s">
        <v>12</v>
      </c>
      <c r="D499">
        <v>39.75</v>
      </c>
      <c r="F499" s="3">
        <v>44131</v>
      </c>
      <c r="G499" s="2" t="str">
        <f t="shared" si="21"/>
        <v>October</v>
      </c>
      <c r="H499" s="2" t="str">
        <f t="shared" si="22"/>
        <v>Week 5</v>
      </c>
      <c r="I499" s="2" t="str">
        <f t="shared" si="23"/>
        <v>Quarter 4</v>
      </c>
    </row>
    <row r="500" spans="1:9" x14ac:dyDescent="0.25">
      <c r="A500">
        <v>2000086401</v>
      </c>
      <c r="B500" t="s">
        <v>27</v>
      </c>
      <c r="C500" t="s">
        <v>12</v>
      </c>
      <c r="D500">
        <v>58.4</v>
      </c>
      <c r="F500" s="3">
        <v>44131</v>
      </c>
      <c r="G500" s="2" t="str">
        <f t="shared" si="21"/>
        <v>October</v>
      </c>
      <c r="H500" s="2" t="str">
        <f t="shared" si="22"/>
        <v>Week 5</v>
      </c>
      <c r="I500" s="2" t="str">
        <f t="shared" si="23"/>
        <v>Quarter 4</v>
      </c>
    </row>
    <row r="501" spans="1:9" x14ac:dyDescent="0.25">
      <c r="A501">
        <v>2000086286</v>
      </c>
      <c r="B501" t="s">
        <v>27</v>
      </c>
      <c r="C501" t="s">
        <v>18</v>
      </c>
      <c r="D501">
        <v>489.3</v>
      </c>
      <c r="F501" s="3">
        <v>44131</v>
      </c>
      <c r="G501" s="2" t="str">
        <f t="shared" si="21"/>
        <v>October</v>
      </c>
      <c r="H501" s="2" t="str">
        <f t="shared" si="22"/>
        <v>Week 5</v>
      </c>
      <c r="I501" s="2" t="str">
        <f t="shared" si="23"/>
        <v>Quarter 4</v>
      </c>
    </row>
    <row r="502" spans="1:9" x14ac:dyDescent="0.25">
      <c r="A502">
        <v>2000086555</v>
      </c>
      <c r="B502" t="s">
        <v>27</v>
      </c>
      <c r="C502" t="s">
        <v>9</v>
      </c>
      <c r="D502">
        <v>39.1</v>
      </c>
      <c r="F502" s="3">
        <v>44131</v>
      </c>
      <c r="G502" s="2" t="str">
        <f t="shared" si="21"/>
        <v>October</v>
      </c>
      <c r="H502" s="2" t="str">
        <f t="shared" si="22"/>
        <v>Week 5</v>
      </c>
      <c r="I502" s="2" t="str">
        <f t="shared" si="23"/>
        <v>Quarter 4</v>
      </c>
    </row>
    <row r="503" spans="1:9" x14ac:dyDescent="0.25">
      <c r="A503">
        <v>2000086303</v>
      </c>
      <c r="B503" t="s">
        <v>27</v>
      </c>
      <c r="C503" t="s">
        <v>12</v>
      </c>
      <c r="D503">
        <v>39.6</v>
      </c>
      <c r="F503" s="3">
        <v>44131</v>
      </c>
      <c r="G503" s="2" t="str">
        <f t="shared" si="21"/>
        <v>October</v>
      </c>
      <c r="H503" s="2" t="str">
        <f t="shared" si="22"/>
        <v>Week 5</v>
      </c>
      <c r="I503" s="2" t="str">
        <f t="shared" si="23"/>
        <v>Quarter 4</v>
      </c>
    </row>
    <row r="504" spans="1:9" x14ac:dyDescent="0.25">
      <c r="A504">
        <v>2000086556</v>
      </c>
      <c r="B504" t="s">
        <v>27</v>
      </c>
      <c r="C504" t="s">
        <v>9</v>
      </c>
      <c r="D504">
        <v>33.799999999999997</v>
      </c>
      <c r="F504" s="3">
        <v>44131</v>
      </c>
      <c r="G504" s="2" t="str">
        <f t="shared" si="21"/>
        <v>October</v>
      </c>
      <c r="H504" s="2" t="str">
        <f t="shared" si="22"/>
        <v>Week 5</v>
      </c>
      <c r="I504" s="2" t="str">
        <f t="shared" si="23"/>
        <v>Quarter 4</v>
      </c>
    </row>
    <row r="505" spans="1:9" x14ac:dyDescent="0.25">
      <c r="A505">
        <v>2000086557</v>
      </c>
      <c r="B505" t="s">
        <v>27</v>
      </c>
      <c r="C505" t="s">
        <v>9</v>
      </c>
      <c r="D505">
        <v>78.599999999999994</v>
      </c>
      <c r="F505" s="3">
        <v>44131</v>
      </c>
      <c r="G505" s="2" t="str">
        <f t="shared" si="21"/>
        <v>October</v>
      </c>
      <c r="H505" s="2" t="str">
        <f t="shared" si="22"/>
        <v>Week 5</v>
      </c>
      <c r="I505" s="2" t="str">
        <f t="shared" si="23"/>
        <v>Quarter 4</v>
      </c>
    </row>
    <row r="506" spans="1:9" x14ac:dyDescent="0.25">
      <c r="A506">
        <v>2000086428</v>
      </c>
      <c r="B506" t="s">
        <v>27</v>
      </c>
      <c r="C506" t="s">
        <v>12</v>
      </c>
      <c r="D506">
        <v>44.95</v>
      </c>
      <c r="F506" s="3">
        <v>44131</v>
      </c>
      <c r="G506" s="2" t="str">
        <f t="shared" si="21"/>
        <v>October</v>
      </c>
      <c r="H506" s="2" t="str">
        <f t="shared" si="22"/>
        <v>Week 5</v>
      </c>
      <c r="I506" s="2" t="str">
        <f t="shared" si="23"/>
        <v>Quarter 4</v>
      </c>
    </row>
    <row r="507" spans="1:9" x14ac:dyDescent="0.25">
      <c r="A507">
        <v>2000086558</v>
      </c>
      <c r="B507" t="s">
        <v>27</v>
      </c>
      <c r="C507" t="s">
        <v>9</v>
      </c>
      <c r="D507">
        <v>95.4</v>
      </c>
      <c r="F507" s="3">
        <v>44131</v>
      </c>
      <c r="G507" s="2" t="str">
        <f t="shared" si="21"/>
        <v>October</v>
      </c>
      <c r="H507" s="2" t="str">
        <f t="shared" si="22"/>
        <v>Week 5</v>
      </c>
      <c r="I507" s="2" t="str">
        <f t="shared" si="23"/>
        <v>Quarter 4</v>
      </c>
    </row>
    <row r="508" spans="1:9" x14ac:dyDescent="0.25">
      <c r="A508">
        <v>2000086287</v>
      </c>
      <c r="B508" t="s">
        <v>27</v>
      </c>
      <c r="C508" t="s">
        <v>18</v>
      </c>
      <c r="D508">
        <v>486.65</v>
      </c>
      <c r="F508" s="3">
        <v>44131</v>
      </c>
      <c r="G508" s="2" t="str">
        <f t="shared" si="21"/>
        <v>October</v>
      </c>
      <c r="H508" s="2" t="str">
        <f t="shared" si="22"/>
        <v>Week 5</v>
      </c>
      <c r="I508" s="2" t="str">
        <f t="shared" si="23"/>
        <v>Quarter 4</v>
      </c>
    </row>
    <row r="509" spans="1:9" x14ac:dyDescent="0.25">
      <c r="A509">
        <v>2000086331</v>
      </c>
      <c r="B509" t="s">
        <v>27</v>
      </c>
      <c r="C509" t="s">
        <v>18</v>
      </c>
      <c r="D509">
        <v>306.39999999999998</v>
      </c>
      <c r="F509" s="3">
        <v>44131</v>
      </c>
      <c r="G509" s="2" t="str">
        <f t="shared" si="21"/>
        <v>October</v>
      </c>
      <c r="H509" s="2" t="str">
        <f t="shared" si="22"/>
        <v>Week 5</v>
      </c>
      <c r="I509" s="2" t="str">
        <f t="shared" si="23"/>
        <v>Quarter 4</v>
      </c>
    </row>
    <row r="510" spans="1:9" x14ac:dyDescent="0.25">
      <c r="A510">
        <v>2000086480</v>
      </c>
      <c r="B510" t="s">
        <v>27</v>
      </c>
      <c r="C510" t="s">
        <v>12</v>
      </c>
      <c r="D510">
        <v>5.6</v>
      </c>
      <c r="F510" s="3">
        <v>44131</v>
      </c>
      <c r="G510" s="2" t="str">
        <f t="shared" si="21"/>
        <v>October</v>
      </c>
      <c r="H510" s="2" t="str">
        <f t="shared" si="22"/>
        <v>Week 5</v>
      </c>
      <c r="I510" s="2" t="str">
        <f t="shared" si="23"/>
        <v>Quarter 4</v>
      </c>
    </row>
    <row r="511" spans="1:9" x14ac:dyDescent="0.25">
      <c r="A511">
        <v>2000086460</v>
      </c>
      <c r="B511" t="s">
        <v>27</v>
      </c>
      <c r="C511" t="s">
        <v>12</v>
      </c>
      <c r="D511">
        <v>96.85</v>
      </c>
      <c r="F511" s="3">
        <v>44131</v>
      </c>
      <c r="G511" s="2" t="str">
        <f t="shared" si="21"/>
        <v>October</v>
      </c>
      <c r="H511" s="2" t="str">
        <f t="shared" si="22"/>
        <v>Week 5</v>
      </c>
      <c r="I511" s="2" t="str">
        <f t="shared" si="23"/>
        <v>Quarter 4</v>
      </c>
    </row>
    <row r="512" spans="1:9" x14ac:dyDescent="0.25">
      <c r="A512">
        <v>2000086343</v>
      </c>
      <c r="B512" t="s">
        <v>27</v>
      </c>
      <c r="C512" t="s">
        <v>18</v>
      </c>
      <c r="D512">
        <v>268.8</v>
      </c>
      <c r="F512" s="3">
        <v>44131</v>
      </c>
      <c r="G512" s="2" t="str">
        <f t="shared" si="21"/>
        <v>October</v>
      </c>
      <c r="H512" s="2" t="str">
        <f t="shared" si="22"/>
        <v>Week 5</v>
      </c>
      <c r="I512" s="2" t="str">
        <f t="shared" si="23"/>
        <v>Quarter 4</v>
      </c>
    </row>
    <row r="513" spans="1:9" x14ac:dyDescent="0.25">
      <c r="A513">
        <v>2000086338</v>
      </c>
      <c r="B513" t="s">
        <v>27</v>
      </c>
      <c r="C513" t="s">
        <v>18</v>
      </c>
      <c r="D513">
        <v>277.35000000000002</v>
      </c>
      <c r="F513" s="3">
        <v>44131</v>
      </c>
      <c r="G513" s="2" t="str">
        <f t="shared" si="21"/>
        <v>October</v>
      </c>
      <c r="H513" s="2" t="str">
        <f t="shared" si="22"/>
        <v>Week 5</v>
      </c>
      <c r="I513" s="2" t="str">
        <f t="shared" si="23"/>
        <v>Quarter 4</v>
      </c>
    </row>
    <row r="514" spans="1:9" x14ac:dyDescent="0.25">
      <c r="A514">
        <v>2000086429</v>
      </c>
      <c r="B514" t="s">
        <v>27</v>
      </c>
      <c r="C514" t="s">
        <v>12</v>
      </c>
      <c r="D514">
        <v>45.05</v>
      </c>
      <c r="F514" s="3">
        <v>44131</v>
      </c>
      <c r="G514" s="2" t="str">
        <f t="shared" si="21"/>
        <v>October</v>
      </c>
      <c r="H514" s="2" t="str">
        <f t="shared" si="22"/>
        <v>Week 5</v>
      </c>
      <c r="I514" s="2" t="str">
        <f t="shared" si="23"/>
        <v>Quarter 4</v>
      </c>
    </row>
    <row r="515" spans="1:9" x14ac:dyDescent="0.25">
      <c r="A515">
        <v>2000086636</v>
      </c>
      <c r="B515" t="s">
        <v>27</v>
      </c>
      <c r="C515" t="s">
        <v>11</v>
      </c>
      <c r="D515">
        <v>635.25</v>
      </c>
      <c r="F515" s="3">
        <v>44131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5</v>
      </c>
      <c r="I515" s="2" t="str">
        <f t="shared" ref="I515:I578" si="26">"Quarter " &amp; ROUNDUP((MONTH(F515))/3,0)</f>
        <v>Quarter 4</v>
      </c>
    </row>
    <row r="516" spans="1:9" x14ac:dyDescent="0.25">
      <c r="A516">
        <v>2000086249</v>
      </c>
      <c r="B516" t="s">
        <v>27</v>
      </c>
      <c r="C516" t="s">
        <v>18</v>
      </c>
      <c r="D516">
        <v>1784.7</v>
      </c>
      <c r="F516" s="3">
        <v>44131</v>
      </c>
      <c r="G516" s="2" t="str">
        <f t="shared" si="24"/>
        <v>October</v>
      </c>
      <c r="H516" s="2" t="str">
        <f t="shared" si="25"/>
        <v>Week 5</v>
      </c>
      <c r="I516" s="2" t="str">
        <f t="shared" si="26"/>
        <v>Quarter 4</v>
      </c>
    </row>
    <row r="517" spans="1:9" x14ac:dyDescent="0.25">
      <c r="A517">
        <v>2000086307</v>
      </c>
      <c r="B517" t="s">
        <v>27</v>
      </c>
      <c r="C517" t="s">
        <v>12</v>
      </c>
      <c r="D517">
        <v>40.950000000000003</v>
      </c>
      <c r="F517" s="3">
        <v>44131</v>
      </c>
      <c r="G517" s="2" t="str">
        <f t="shared" si="24"/>
        <v>October</v>
      </c>
      <c r="H517" s="2" t="str">
        <f t="shared" si="25"/>
        <v>Week 5</v>
      </c>
      <c r="I517" s="2" t="str">
        <f t="shared" si="26"/>
        <v>Quarter 4</v>
      </c>
    </row>
    <row r="518" spans="1:9" x14ac:dyDescent="0.25">
      <c r="A518">
        <v>2000086482</v>
      </c>
      <c r="B518" t="s">
        <v>27</v>
      </c>
      <c r="C518" t="s">
        <v>12</v>
      </c>
      <c r="D518">
        <v>31.6</v>
      </c>
      <c r="F518" s="3">
        <v>44131</v>
      </c>
      <c r="G518" s="2" t="str">
        <f t="shared" si="24"/>
        <v>October</v>
      </c>
      <c r="H518" s="2" t="str">
        <f t="shared" si="25"/>
        <v>Week 5</v>
      </c>
      <c r="I518" s="2" t="str">
        <f t="shared" si="26"/>
        <v>Quarter 4</v>
      </c>
    </row>
    <row r="519" spans="1:9" x14ac:dyDescent="0.25">
      <c r="A519">
        <v>2000086337</v>
      </c>
      <c r="B519" t="s">
        <v>27</v>
      </c>
      <c r="C519" t="s">
        <v>18</v>
      </c>
      <c r="D519">
        <v>282.60000000000002</v>
      </c>
      <c r="F519" s="3">
        <v>44131</v>
      </c>
      <c r="G519" s="2" t="str">
        <f t="shared" si="24"/>
        <v>October</v>
      </c>
      <c r="H519" s="2" t="str">
        <f t="shared" si="25"/>
        <v>Week 5</v>
      </c>
      <c r="I519" s="2" t="str">
        <f t="shared" si="26"/>
        <v>Quarter 4</v>
      </c>
    </row>
    <row r="520" spans="1:9" x14ac:dyDescent="0.25">
      <c r="A520">
        <v>2000086461</v>
      </c>
      <c r="B520" t="s">
        <v>27</v>
      </c>
      <c r="C520" t="s">
        <v>12</v>
      </c>
      <c r="D520">
        <v>15.5</v>
      </c>
      <c r="F520" s="3">
        <v>44131</v>
      </c>
      <c r="G520" s="2" t="str">
        <f t="shared" si="24"/>
        <v>October</v>
      </c>
      <c r="H520" s="2" t="str">
        <f t="shared" si="25"/>
        <v>Week 5</v>
      </c>
      <c r="I520" s="2" t="str">
        <f t="shared" si="26"/>
        <v>Quarter 4</v>
      </c>
    </row>
    <row r="521" spans="1:9" x14ac:dyDescent="0.25">
      <c r="A521">
        <v>2000086239</v>
      </c>
      <c r="B521" t="s">
        <v>27</v>
      </c>
      <c r="C521" t="s">
        <v>18</v>
      </c>
      <c r="D521">
        <v>4127.25</v>
      </c>
      <c r="F521" s="3">
        <v>44131</v>
      </c>
      <c r="G521" s="2" t="str">
        <f t="shared" si="24"/>
        <v>October</v>
      </c>
      <c r="H521" s="2" t="str">
        <f t="shared" si="25"/>
        <v>Week 5</v>
      </c>
      <c r="I521" s="2" t="str">
        <f t="shared" si="26"/>
        <v>Quarter 4</v>
      </c>
    </row>
    <row r="522" spans="1:9" x14ac:dyDescent="0.25">
      <c r="A522">
        <v>2000086483</v>
      </c>
      <c r="B522" t="s">
        <v>27</v>
      </c>
      <c r="C522" t="s">
        <v>12</v>
      </c>
      <c r="D522">
        <v>23.1</v>
      </c>
      <c r="F522" s="3">
        <v>44131</v>
      </c>
      <c r="G522" s="2" t="str">
        <f t="shared" si="24"/>
        <v>October</v>
      </c>
      <c r="H522" s="2" t="str">
        <f t="shared" si="25"/>
        <v>Week 5</v>
      </c>
      <c r="I522" s="2" t="str">
        <f t="shared" si="26"/>
        <v>Quarter 4</v>
      </c>
    </row>
    <row r="523" spans="1:9" x14ac:dyDescent="0.25">
      <c r="A523">
        <v>2000086433</v>
      </c>
      <c r="B523" t="s">
        <v>27</v>
      </c>
      <c r="C523" t="s">
        <v>12</v>
      </c>
      <c r="D523">
        <v>46.55</v>
      </c>
      <c r="F523" s="3">
        <v>44131</v>
      </c>
      <c r="G523" s="2" t="str">
        <f t="shared" si="24"/>
        <v>October</v>
      </c>
      <c r="H523" s="2" t="str">
        <f t="shared" si="25"/>
        <v>Week 5</v>
      </c>
      <c r="I523" s="2" t="str">
        <f t="shared" si="26"/>
        <v>Quarter 4</v>
      </c>
    </row>
    <row r="524" spans="1:9" x14ac:dyDescent="0.25">
      <c r="A524">
        <v>2000086448</v>
      </c>
      <c r="B524" t="s">
        <v>27</v>
      </c>
      <c r="C524" t="s">
        <v>21</v>
      </c>
      <c r="D524">
        <v>18.7</v>
      </c>
      <c r="F524" s="3">
        <v>44131</v>
      </c>
      <c r="G524" s="2" t="str">
        <f t="shared" si="24"/>
        <v>October</v>
      </c>
      <c r="H524" s="2" t="str">
        <f t="shared" si="25"/>
        <v>Week 5</v>
      </c>
      <c r="I524" s="2" t="str">
        <f t="shared" si="26"/>
        <v>Quarter 4</v>
      </c>
    </row>
    <row r="525" spans="1:9" x14ac:dyDescent="0.25">
      <c r="A525">
        <v>2000086560</v>
      </c>
      <c r="B525" t="s">
        <v>27</v>
      </c>
      <c r="C525" t="s">
        <v>9</v>
      </c>
      <c r="D525">
        <v>18.95</v>
      </c>
      <c r="F525" s="3">
        <v>44131</v>
      </c>
      <c r="G525" s="2" t="str">
        <f t="shared" si="24"/>
        <v>October</v>
      </c>
      <c r="H525" s="2" t="str">
        <f t="shared" si="25"/>
        <v>Week 5</v>
      </c>
      <c r="I525" s="2" t="str">
        <f t="shared" si="26"/>
        <v>Quarter 4</v>
      </c>
    </row>
    <row r="526" spans="1:9" x14ac:dyDescent="0.25">
      <c r="A526">
        <v>2000086426</v>
      </c>
      <c r="B526" t="s">
        <v>27</v>
      </c>
      <c r="C526" t="s">
        <v>12</v>
      </c>
      <c r="D526">
        <v>43.2</v>
      </c>
      <c r="F526" s="3">
        <v>44131</v>
      </c>
      <c r="G526" s="2" t="str">
        <f t="shared" si="24"/>
        <v>October</v>
      </c>
      <c r="H526" s="2" t="str">
        <f t="shared" si="25"/>
        <v>Week 5</v>
      </c>
      <c r="I526" s="2" t="str">
        <f t="shared" si="26"/>
        <v>Quarter 4</v>
      </c>
    </row>
    <row r="527" spans="1:9" x14ac:dyDescent="0.25">
      <c r="A527">
        <v>2000086561</v>
      </c>
      <c r="B527" t="s">
        <v>27</v>
      </c>
      <c r="C527" t="s">
        <v>9</v>
      </c>
      <c r="D527">
        <v>15.5</v>
      </c>
      <c r="F527" s="3">
        <v>44131</v>
      </c>
      <c r="G527" s="2" t="str">
        <f t="shared" si="24"/>
        <v>October</v>
      </c>
      <c r="H527" s="2" t="str">
        <f t="shared" si="25"/>
        <v>Week 5</v>
      </c>
      <c r="I527" s="2" t="str">
        <f t="shared" si="26"/>
        <v>Quarter 4</v>
      </c>
    </row>
    <row r="528" spans="1:9" x14ac:dyDescent="0.25">
      <c r="A528">
        <v>2000086392</v>
      </c>
      <c r="B528" t="s">
        <v>27</v>
      </c>
      <c r="C528" t="s">
        <v>12</v>
      </c>
      <c r="D528">
        <v>71.900000000000006</v>
      </c>
      <c r="F528" s="3">
        <v>44131</v>
      </c>
      <c r="G528" s="2" t="str">
        <f t="shared" si="24"/>
        <v>October</v>
      </c>
      <c r="H528" s="2" t="str">
        <f t="shared" si="25"/>
        <v>Week 5</v>
      </c>
      <c r="I528" s="2" t="str">
        <f t="shared" si="26"/>
        <v>Quarter 4</v>
      </c>
    </row>
    <row r="529" spans="1:9" x14ac:dyDescent="0.25">
      <c r="A529">
        <v>2000086440</v>
      </c>
      <c r="B529" t="s">
        <v>27</v>
      </c>
      <c r="C529" t="s">
        <v>12</v>
      </c>
      <c r="D529">
        <v>53.6</v>
      </c>
      <c r="F529" s="3">
        <v>44131</v>
      </c>
      <c r="G529" s="2" t="str">
        <f t="shared" si="24"/>
        <v>October</v>
      </c>
      <c r="H529" s="2" t="str">
        <f t="shared" si="25"/>
        <v>Week 5</v>
      </c>
      <c r="I529" s="2" t="str">
        <f t="shared" si="26"/>
        <v>Quarter 4</v>
      </c>
    </row>
    <row r="530" spans="1:9" x14ac:dyDescent="0.25">
      <c r="A530">
        <v>2000086384</v>
      </c>
      <c r="B530" t="s">
        <v>27</v>
      </c>
      <c r="C530" t="s">
        <v>12</v>
      </c>
      <c r="D530">
        <v>138.65</v>
      </c>
      <c r="F530" s="3">
        <v>44131</v>
      </c>
      <c r="G530" s="2" t="str">
        <f t="shared" si="24"/>
        <v>October</v>
      </c>
      <c r="H530" s="2" t="str">
        <f t="shared" si="25"/>
        <v>Week 5</v>
      </c>
      <c r="I530" s="2" t="str">
        <f t="shared" si="26"/>
        <v>Quarter 4</v>
      </c>
    </row>
    <row r="531" spans="1:9" x14ac:dyDescent="0.25">
      <c r="A531">
        <v>2000086285</v>
      </c>
      <c r="B531" t="s">
        <v>27</v>
      </c>
      <c r="C531" t="s">
        <v>18</v>
      </c>
      <c r="D531">
        <v>490.65</v>
      </c>
      <c r="F531" s="3">
        <v>44131</v>
      </c>
      <c r="G531" s="2" t="str">
        <f t="shared" si="24"/>
        <v>October</v>
      </c>
      <c r="H531" s="2" t="str">
        <f t="shared" si="25"/>
        <v>Week 5</v>
      </c>
      <c r="I531" s="2" t="str">
        <f t="shared" si="26"/>
        <v>Quarter 4</v>
      </c>
    </row>
    <row r="532" spans="1:9" x14ac:dyDescent="0.25">
      <c r="A532">
        <v>2000086462</v>
      </c>
      <c r="B532" t="s">
        <v>27</v>
      </c>
      <c r="C532" t="s">
        <v>12</v>
      </c>
      <c r="D532">
        <v>32.35</v>
      </c>
      <c r="F532" s="3">
        <v>44131</v>
      </c>
      <c r="G532" s="2" t="str">
        <f t="shared" si="24"/>
        <v>October</v>
      </c>
      <c r="H532" s="2" t="str">
        <f t="shared" si="25"/>
        <v>Week 5</v>
      </c>
      <c r="I532" s="2" t="str">
        <f t="shared" si="26"/>
        <v>Quarter 4</v>
      </c>
    </row>
    <row r="533" spans="1:9" x14ac:dyDescent="0.25">
      <c r="A533">
        <v>2000086442</v>
      </c>
      <c r="B533" t="s">
        <v>27</v>
      </c>
      <c r="C533" t="s">
        <v>12</v>
      </c>
      <c r="D533">
        <v>52.5</v>
      </c>
      <c r="F533" s="3">
        <v>44131</v>
      </c>
      <c r="G533" s="2" t="str">
        <f t="shared" si="24"/>
        <v>October</v>
      </c>
      <c r="H533" s="2" t="str">
        <f t="shared" si="25"/>
        <v>Week 5</v>
      </c>
      <c r="I533" s="2" t="str">
        <f t="shared" si="26"/>
        <v>Quarter 4</v>
      </c>
    </row>
    <row r="534" spans="1:9" x14ac:dyDescent="0.25">
      <c r="A534">
        <v>2000086562</v>
      </c>
      <c r="B534" t="s">
        <v>27</v>
      </c>
      <c r="C534" t="s">
        <v>9</v>
      </c>
      <c r="D534">
        <v>13.2</v>
      </c>
      <c r="F534" s="3">
        <v>44131</v>
      </c>
      <c r="G534" s="2" t="str">
        <f t="shared" si="24"/>
        <v>October</v>
      </c>
      <c r="H534" s="2" t="str">
        <f t="shared" si="25"/>
        <v>Week 5</v>
      </c>
      <c r="I534" s="2" t="str">
        <f t="shared" si="26"/>
        <v>Quarter 4</v>
      </c>
    </row>
    <row r="535" spans="1:9" x14ac:dyDescent="0.25">
      <c r="A535">
        <v>2000086219</v>
      </c>
      <c r="B535" t="s">
        <v>27</v>
      </c>
      <c r="C535" t="s">
        <v>18</v>
      </c>
      <c r="D535">
        <v>8719.7000000000007</v>
      </c>
      <c r="F535" s="3">
        <v>44131</v>
      </c>
      <c r="G535" s="2" t="str">
        <f t="shared" si="24"/>
        <v>October</v>
      </c>
      <c r="H535" s="2" t="str">
        <f t="shared" si="25"/>
        <v>Week 5</v>
      </c>
      <c r="I535" s="2" t="str">
        <f t="shared" si="26"/>
        <v>Quarter 4</v>
      </c>
    </row>
    <row r="536" spans="1:9" x14ac:dyDescent="0.25">
      <c r="A536">
        <v>2000086563</v>
      </c>
      <c r="B536" t="s">
        <v>27</v>
      </c>
      <c r="C536" t="s">
        <v>9</v>
      </c>
      <c r="D536">
        <v>15.5</v>
      </c>
      <c r="F536" s="3">
        <v>44131</v>
      </c>
      <c r="G536" s="2" t="str">
        <f t="shared" si="24"/>
        <v>October</v>
      </c>
      <c r="H536" s="2" t="str">
        <f t="shared" si="25"/>
        <v>Week 5</v>
      </c>
      <c r="I536" s="2" t="str">
        <f t="shared" si="26"/>
        <v>Quarter 4</v>
      </c>
    </row>
    <row r="537" spans="1:9" x14ac:dyDescent="0.25">
      <c r="A537">
        <v>2000086449</v>
      </c>
      <c r="B537" t="s">
        <v>27</v>
      </c>
      <c r="C537" t="s">
        <v>21</v>
      </c>
      <c r="D537">
        <v>31.3</v>
      </c>
      <c r="F537" s="3">
        <v>44131</v>
      </c>
      <c r="G537" s="2" t="str">
        <f t="shared" si="24"/>
        <v>October</v>
      </c>
      <c r="H537" s="2" t="str">
        <f t="shared" si="25"/>
        <v>Week 5</v>
      </c>
      <c r="I537" s="2" t="str">
        <f t="shared" si="26"/>
        <v>Quarter 4</v>
      </c>
    </row>
    <row r="538" spans="1:9" x14ac:dyDescent="0.25">
      <c r="A538">
        <v>2000086508</v>
      </c>
      <c r="B538" t="s">
        <v>27</v>
      </c>
      <c r="C538" t="s">
        <v>22</v>
      </c>
      <c r="D538">
        <v>33.799999999999997</v>
      </c>
      <c r="F538" s="3">
        <v>44131</v>
      </c>
      <c r="G538" s="2" t="str">
        <f t="shared" si="24"/>
        <v>October</v>
      </c>
      <c r="H538" s="2" t="str">
        <f t="shared" si="25"/>
        <v>Week 5</v>
      </c>
      <c r="I538" s="2" t="str">
        <f t="shared" si="26"/>
        <v>Quarter 4</v>
      </c>
    </row>
    <row r="539" spans="1:9" x14ac:dyDescent="0.25">
      <c r="A539">
        <v>2000086308</v>
      </c>
      <c r="B539" t="s">
        <v>27</v>
      </c>
      <c r="C539" t="s">
        <v>12</v>
      </c>
      <c r="D539">
        <v>65.45</v>
      </c>
      <c r="F539" s="3">
        <v>44131</v>
      </c>
      <c r="G539" s="2" t="str">
        <f t="shared" si="24"/>
        <v>October</v>
      </c>
      <c r="H539" s="2" t="str">
        <f t="shared" si="25"/>
        <v>Week 5</v>
      </c>
      <c r="I539" s="2" t="str">
        <f t="shared" si="26"/>
        <v>Quarter 4</v>
      </c>
    </row>
    <row r="540" spans="1:9" x14ac:dyDescent="0.25">
      <c r="A540">
        <v>2000086308</v>
      </c>
      <c r="B540" t="s">
        <v>27</v>
      </c>
      <c r="C540" t="s">
        <v>12</v>
      </c>
      <c r="D540">
        <v>100.95</v>
      </c>
      <c r="F540" s="3">
        <v>44131</v>
      </c>
      <c r="G540" s="2" t="str">
        <f t="shared" si="24"/>
        <v>October</v>
      </c>
      <c r="H540" s="2" t="str">
        <f t="shared" si="25"/>
        <v>Week 5</v>
      </c>
      <c r="I540" s="2" t="str">
        <f t="shared" si="26"/>
        <v>Quarter 4</v>
      </c>
    </row>
    <row r="541" spans="1:9" x14ac:dyDescent="0.25">
      <c r="A541">
        <v>2000086257</v>
      </c>
      <c r="B541" t="s">
        <v>27</v>
      </c>
      <c r="C541" t="s">
        <v>18</v>
      </c>
      <c r="D541">
        <v>1238.27</v>
      </c>
      <c r="F541" s="3">
        <v>44131</v>
      </c>
      <c r="G541" s="2" t="str">
        <f t="shared" si="24"/>
        <v>October</v>
      </c>
      <c r="H541" s="2" t="str">
        <f t="shared" si="25"/>
        <v>Week 5</v>
      </c>
      <c r="I541" s="2" t="str">
        <f t="shared" si="26"/>
        <v>Quarter 4</v>
      </c>
    </row>
    <row r="542" spans="1:9" x14ac:dyDescent="0.25">
      <c r="A542">
        <v>2000086397</v>
      </c>
      <c r="B542" t="s">
        <v>27</v>
      </c>
      <c r="C542" t="s">
        <v>12</v>
      </c>
      <c r="D542">
        <v>62.55</v>
      </c>
      <c r="F542" s="3">
        <v>44131</v>
      </c>
      <c r="G542" s="2" t="str">
        <f t="shared" si="24"/>
        <v>October</v>
      </c>
      <c r="H542" s="2" t="str">
        <f t="shared" si="25"/>
        <v>Week 5</v>
      </c>
      <c r="I542" s="2" t="str">
        <f t="shared" si="26"/>
        <v>Quarter 4</v>
      </c>
    </row>
    <row r="543" spans="1:9" x14ac:dyDescent="0.25">
      <c r="A543">
        <v>2000086279</v>
      </c>
      <c r="B543" t="s">
        <v>27</v>
      </c>
      <c r="C543" t="s">
        <v>18</v>
      </c>
      <c r="D543">
        <v>523.75</v>
      </c>
      <c r="F543" s="3">
        <v>44131</v>
      </c>
      <c r="G543" s="2" t="str">
        <f t="shared" si="24"/>
        <v>October</v>
      </c>
      <c r="H543" s="2" t="str">
        <f t="shared" si="25"/>
        <v>Week 5</v>
      </c>
      <c r="I543" s="2" t="str">
        <f t="shared" si="26"/>
        <v>Quarter 4</v>
      </c>
    </row>
    <row r="544" spans="1:9" x14ac:dyDescent="0.25">
      <c r="A544">
        <v>2000086264</v>
      </c>
      <c r="B544" t="s">
        <v>27</v>
      </c>
      <c r="C544" t="s">
        <v>18</v>
      </c>
      <c r="D544">
        <v>715.5</v>
      </c>
      <c r="F544" s="3">
        <v>44131</v>
      </c>
      <c r="G544" s="2" t="str">
        <f t="shared" si="24"/>
        <v>October</v>
      </c>
      <c r="H544" s="2" t="str">
        <f t="shared" si="25"/>
        <v>Week 5</v>
      </c>
      <c r="I544" s="2" t="str">
        <f t="shared" si="26"/>
        <v>Quarter 4</v>
      </c>
    </row>
    <row r="545" spans="1:9" x14ac:dyDescent="0.25">
      <c r="A545">
        <v>2000086463</v>
      </c>
      <c r="B545" t="s">
        <v>27</v>
      </c>
      <c r="C545" t="s">
        <v>12</v>
      </c>
      <c r="D545">
        <v>91.8</v>
      </c>
      <c r="F545" s="3">
        <v>44131</v>
      </c>
      <c r="G545" s="2" t="str">
        <f t="shared" si="24"/>
        <v>October</v>
      </c>
      <c r="H545" s="2" t="str">
        <f t="shared" si="25"/>
        <v>Week 5</v>
      </c>
      <c r="I545" s="2" t="str">
        <f t="shared" si="26"/>
        <v>Quarter 4</v>
      </c>
    </row>
    <row r="546" spans="1:9" x14ac:dyDescent="0.25">
      <c r="A546">
        <v>2000086484</v>
      </c>
      <c r="B546" t="s">
        <v>27</v>
      </c>
      <c r="C546" t="s">
        <v>12</v>
      </c>
      <c r="D546">
        <v>33.75</v>
      </c>
      <c r="F546" s="3">
        <v>44131</v>
      </c>
      <c r="G546" s="2" t="str">
        <f t="shared" si="24"/>
        <v>October</v>
      </c>
      <c r="H546" s="2" t="str">
        <f t="shared" si="25"/>
        <v>Week 5</v>
      </c>
      <c r="I546" s="2" t="str">
        <f t="shared" si="26"/>
        <v>Quarter 4</v>
      </c>
    </row>
    <row r="547" spans="1:9" x14ac:dyDescent="0.25">
      <c r="A547">
        <v>2000086564</v>
      </c>
      <c r="B547" t="s">
        <v>27</v>
      </c>
      <c r="C547" t="s">
        <v>9</v>
      </c>
      <c r="D547">
        <v>30.2</v>
      </c>
      <c r="F547" s="3">
        <v>44131</v>
      </c>
      <c r="G547" s="2" t="str">
        <f t="shared" si="24"/>
        <v>October</v>
      </c>
      <c r="H547" s="2" t="str">
        <f t="shared" si="25"/>
        <v>Week 5</v>
      </c>
      <c r="I547" s="2" t="str">
        <f t="shared" si="26"/>
        <v>Quarter 4</v>
      </c>
    </row>
    <row r="548" spans="1:9" x14ac:dyDescent="0.25">
      <c r="A548">
        <v>2000086485</v>
      </c>
      <c r="B548" t="s">
        <v>27</v>
      </c>
      <c r="C548" t="s">
        <v>12</v>
      </c>
      <c r="D548">
        <v>13.75</v>
      </c>
      <c r="F548" s="3">
        <v>44131</v>
      </c>
      <c r="G548" s="2" t="str">
        <f t="shared" si="24"/>
        <v>October</v>
      </c>
      <c r="H548" s="2" t="str">
        <f t="shared" si="25"/>
        <v>Week 5</v>
      </c>
      <c r="I548" s="2" t="str">
        <f t="shared" si="26"/>
        <v>Quarter 4</v>
      </c>
    </row>
    <row r="549" spans="1:9" x14ac:dyDescent="0.25">
      <c r="A549">
        <v>2000086267</v>
      </c>
      <c r="B549" t="s">
        <v>27</v>
      </c>
      <c r="C549" t="s">
        <v>18</v>
      </c>
      <c r="D549">
        <v>664</v>
      </c>
      <c r="F549" s="3">
        <v>44131</v>
      </c>
      <c r="G549" s="2" t="str">
        <f t="shared" si="24"/>
        <v>October</v>
      </c>
      <c r="H549" s="2" t="str">
        <f t="shared" si="25"/>
        <v>Week 5</v>
      </c>
      <c r="I549" s="2" t="str">
        <f t="shared" si="26"/>
        <v>Quarter 4</v>
      </c>
    </row>
    <row r="550" spans="1:9" x14ac:dyDescent="0.25">
      <c r="A550">
        <v>2000086248</v>
      </c>
      <c r="B550" t="s">
        <v>27</v>
      </c>
      <c r="C550" t="s">
        <v>18</v>
      </c>
      <c r="D550">
        <v>1821.1</v>
      </c>
      <c r="F550" s="3">
        <v>44131</v>
      </c>
      <c r="G550" s="2" t="str">
        <f t="shared" si="24"/>
        <v>October</v>
      </c>
      <c r="H550" s="2" t="str">
        <f t="shared" si="25"/>
        <v>Week 5</v>
      </c>
      <c r="I550" s="2" t="str">
        <f t="shared" si="26"/>
        <v>Quarter 4</v>
      </c>
    </row>
    <row r="551" spans="1:9" x14ac:dyDescent="0.25">
      <c r="A551">
        <v>2000086431</v>
      </c>
      <c r="B551" t="s">
        <v>27</v>
      </c>
      <c r="C551" t="s">
        <v>12</v>
      </c>
      <c r="D551">
        <v>46.25</v>
      </c>
      <c r="F551" s="3">
        <v>44131</v>
      </c>
      <c r="G551" s="2" t="str">
        <f t="shared" si="24"/>
        <v>October</v>
      </c>
      <c r="H551" s="2" t="str">
        <f t="shared" si="25"/>
        <v>Week 5</v>
      </c>
      <c r="I551" s="2" t="str">
        <f t="shared" si="26"/>
        <v>Quarter 4</v>
      </c>
    </row>
    <row r="552" spans="1:9" x14ac:dyDescent="0.25">
      <c r="A552">
        <v>2000086329</v>
      </c>
      <c r="B552" t="s">
        <v>27</v>
      </c>
      <c r="C552" t="s">
        <v>18</v>
      </c>
      <c r="D552">
        <v>318.35000000000002</v>
      </c>
      <c r="F552" s="3">
        <v>44131</v>
      </c>
      <c r="G552" s="2" t="str">
        <f t="shared" si="24"/>
        <v>October</v>
      </c>
      <c r="H552" s="2" t="str">
        <f t="shared" si="25"/>
        <v>Week 5</v>
      </c>
      <c r="I552" s="2" t="str">
        <f t="shared" si="26"/>
        <v>Quarter 4</v>
      </c>
    </row>
    <row r="553" spans="1:9" x14ac:dyDescent="0.25">
      <c r="A553">
        <v>2000086565</v>
      </c>
      <c r="B553" t="s">
        <v>27</v>
      </c>
      <c r="C553" t="s">
        <v>9</v>
      </c>
      <c r="D553">
        <v>48.75</v>
      </c>
      <c r="F553" s="3">
        <v>44131</v>
      </c>
      <c r="G553" s="2" t="str">
        <f t="shared" si="24"/>
        <v>October</v>
      </c>
      <c r="H553" s="2" t="str">
        <f t="shared" si="25"/>
        <v>Week 5</v>
      </c>
      <c r="I553" s="2" t="str">
        <f t="shared" si="26"/>
        <v>Quarter 4</v>
      </c>
    </row>
    <row r="554" spans="1:9" x14ac:dyDescent="0.25">
      <c r="A554">
        <v>2000086437</v>
      </c>
      <c r="B554" t="s">
        <v>27</v>
      </c>
      <c r="C554" t="s">
        <v>12</v>
      </c>
      <c r="D554">
        <v>54.2</v>
      </c>
      <c r="F554" s="3">
        <v>44131</v>
      </c>
      <c r="G554" s="2" t="str">
        <f t="shared" si="24"/>
        <v>October</v>
      </c>
      <c r="H554" s="2" t="str">
        <f t="shared" si="25"/>
        <v>Week 5</v>
      </c>
      <c r="I554" s="2" t="str">
        <f t="shared" si="26"/>
        <v>Quarter 4</v>
      </c>
    </row>
    <row r="555" spans="1:9" x14ac:dyDescent="0.25">
      <c r="A555">
        <v>2000086509</v>
      </c>
      <c r="B555" t="s">
        <v>27</v>
      </c>
      <c r="C555" t="s">
        <v>22</v>
      </c>
      <c r="D555">
        <v>15.35</v>
      </c>
      <c r="F555" s="3">
        <v>44131</v>
      </c>
      <c r="G555" s="2" t="str">
        <f t="shared" si="24"/>
        <v>October</v>
      </c>
      <c r="H555" s="2" t="str">
        <f t="shared" si="25"/>
        <v>Week 5</v>
      </c>
      <c r="I555" s="2" t="str">
        <f t="shared" si="26"/>
        <v>Quarter 4</v>
      </c>
    </row>
    <row r="556" spans="1:9" x14ac:dyDescent="0.25">
      <c r="A556">
        <v>2000086566</v>
      </c>
      <c r="B556" t="s">
        <v>27</v>
      </c>
      <c r="C556" t="s">
        <v>9</v>
      </c>
      <c r="D556">
        <v>15.65</v>
      </c>
      <c r="F556" s="3">
        <v>44131</v>
      </c>
      <c r="G556" s="2" t="str">
        <f t="shared" si="24"/>
        <v>October</v>
      </c>
      <c r="H556" s="2" t="str">
        <f t="shared" si="25"/>
        <v>Week 5</v>
      </c>
      <c r="I556" s="2" t="str">
        <f t="shared" si="26"/>
        <v>Quarter 4</v>
      </c>
    </row>
    <row r="557" spans="1:9" x14ac:dyDescent="0.25">
      <c r="A557">
        <v>2000086513</v>
      </c>
      <c r="B557" t="s">
        <v>27</v>
      </c>
      <c r="C557" t="s">
        <v>22</v>
      </c>
      <c r="D557">
        <v>26.65</v>
      </c>
      <c r="F557" s="3">
        <v>44131</v>
      </c>
      <c r="G557" s="2" t="str">
        <f t="shared" si="24"/>
        <v>October</v>
      </c>
      <c r="H557" s="2" t="str">
        <f t="shared" si="25"/>
        <v>Week 5</v>
      </c>
      <c r="I557" s="2" t="str">
        <f t="shared" si="26"/>
        <v>Quarter 4</v>
      </c>
    </row>
    <row r="558" spans="1:9" x14ac:dyDescent="0.25">
      <c r="A558">
        <v>2000086567</v>
      </c>
      <c r="B558" t="s">
        <v>27</v>
      </c>
      <c r="C558" t="s">
        <v>9</v>
      </c>
      <c r="D558">
        <v>72.900000000000006</v>
      </c>
      <c r="F558" s="3">
        <v>44131</v>
      </c>
      <c r="G558" s="2" t="str">
        <f t="shared" si="24"/>
        <v>October</v>
      </c>
      <c r="H558" s="2" t="str">
        <f t="shared" si="25"/>
        <v>Week 5</v>
      </c>
      <c r="I558" s="2" t="str">
        <f t="shared" si="26"/>
        <v>Quarter 4</v>
      </c>
    </row>
    <row r="559" spans="1:9" x14ac:dyDescent="0.25">
      <c r="A559">
        <v>2000086457</v>
      </c>
      <c r="B559" t="s">
        <v>27</v>
      </c>
      <c r="C559" t="s">
        <v>11</v>
      </c>
      <c r="D559">
        <v>50.55</v>
      </c>
      <c r="F559" s="3">
        <v>44131</v>
      </c>
      <c r="G559" s="2" t="str">
        <f t="shared" si="24"/>
        <v>October</v>
      </c>
      <c r="H559" s="2" t="str">
        <f t="shared" si="25"/>
        <v>Week 5</v>
      </c>
      <c r="I559" s="2" t="str">
        <f t="shared" si="26"/>
        <v>Quarter 4</v>
      </c>
    </row>
    <row r="560" spans="1:9" x14ac:dyDescent="0.25">
      <c r="A560">
        <v>2000086380</v>
      </c>
      <c r="B560" t="s">
        <v>27</v>
      </c>
      <c r="C560" t="s">
        <v>18</v>
      </c>
      <c r="D560">
        <v>151.69999999999999</v>
      </c>
      <c r="F560" s="3">
        <v>44131</v>
      </c>
      <c r="G560" s="2" t="str">
        <f t="shared" si="24"/>
        <v>October</v>
      </c>
      <c r="H560" s="2" t="str">
        <f t="shared" si="25"/>
        <v>Week 5</v>
      </c>
      <c r="I560" s="2" t="str">
        <f t="shared" si="26"/>
        <v>Quarter 4</v>
      </c>
    </row>
    <row r="561" spans="1:9" x14ac:dyDescent="0.25">
      <c r="A561">
        <v>2000086284</v>
      </c>
      <c r="B561" t="s">
        <v>27</v>
      </c>
      <c r="C561" t="s">
        <v>18</v>
      </c>
      <c r="D561">
        <v>496.45</v>
      </c>
      <c r="F561" s="3">
        <v>44131</v>
      </c>
      <c r="G561" s="2" t="str">
        <f t="shared" si="24"/>
        <v>October</v>
      </c>
      <c r="H561" s="2" t="str">
        <f t="shared" si="25"/>
        <v>Week 5</v>
      </c>
      <c r="I561" s="2" t="str">
        <f t="shared" si="26"/>
        <v>Quarter 4</v>
      </c>
    </row>
    <row r="562" spans="1:9" x14ac:dyDescent="0.25">
      <c r="A562">
        <v>2000086245</v>
      </c>
      <c r="B562" t="s">
        <v>27</v>
      </c>
      <c r="C562" t="s">
        <v>18</v>
      </c>
      <c r="D562">
        <v>2414.3000000000002</v>
      </c>
      <c r="F562" s="3">
        <v>44131</v>
      </c>
      <c r="G562" s="2" t="str">
        <f t="shared" si="24"/>
        <v>October</v>
      </c>
      <c r="H562" s="2" t="str">
        <f t="shared" si="25"/>
        <v>Week 5</v>
      </c>
      <c r="I562" s="2" t="str">
        <f t="shared" si="26"/>
        <v>Quarter 4</v>
      </c>
    </row>
    <row r="563" spans="1:9" x14ac:dyDescent="0.25">
      <c r="A563">
        <v>2000086400</v>
      </c>
      <c r="B563" t="s">
        <v>27</v>
      </c>
      <c r="C563" t="s">
        <v>12</v>
      </c>
      <c r="D563">
        <v>59.17</v>
      </c>
      <c r="F563" s="3">
        <v>44131</v>
      </c>
      <c r="G563" s="2" t="str">
        <f t="shared" si="24"/>
        <v>October</v>
      </c>
      <c r="H563" s="2" t="str">
        <f t="shared" si="25"/>
        <v>Week 5</v>
      </c>
      <c r="I563" s="2" t="str">
        <f t="shared" si="26"/>
        <v>Quarter 4</v>
      </c>
    </row>
    <row r="564" spans="1:9" x14ac:dyDescent="0.25">
      <c r="A564">
        <v>2000086352</v>
      </c>
      <c r="B564" t="s">
        <v>27</v>
      </c>
      <c r="C564" t="s">
        <v>12</v>
      </c>
      <c r="D564">
        <v>133.6</v>
      </c>
      <c r="F564" s="3">
        <v>44131</v>
      </c>
      <c r="G564" s="2" t="str">
        <f t="shared" si="24"/>
        <v>October</v>
      </c>
      <c r="H564" s="2" t="str">
        <f t="shared" si="25"/>
        <v>Week 5</v>
      </c>
      <c r="I564" s="2" t="str">
        <f t="shared" si="26"/>
        <v>Quarter 4</v>
      </c>
    </row>
    <row r="565" spans="1:9" x14ac:dyDescent="0.25">
      <c r="A565">
        <v>2000086464</v>
      </c>
      <c r="B565" t="s">
        <v>27</v>
      </c>
      <c r="C565" t="s">
        <v>12</v>
      </c>
      <c r="D565">
        <v>23.45</v>
      </c>
      <c r="F565" s="3">
        <v>44131</v>
      </c>
      <c r="G565" s="2" t="str">
        <f t="shared" si="24"/>
        <v>October</v>
      </c>
      <c r="H565" s="2" t="str">
        <f t="shared" si="25"/>
        <v>Week 5</v>
      </c>
      <c r="I565" s="2" t="str">
        <f t="shared" si="26"/>
        <v>Quarter 4</v>
      </c>
    </row>
    <row r="566" spans="1:9" x14ac:dyDescent="0.25">
      <c r="A566">
        <v>2000086569</v>
      </c>
      <c r="B566" t="s">
        <v>27</v>
      </c>
      <c r="C566" t="s">
        <v>9</v>
      </c>
      <c r="D566">
        <v>12.25</v>
      </c>
      <c r="F566" s="3">
        <v>44131</v>
      </c>
      <c r="G566" s="2" t="str">
        <f t="shared" si="24"/>
        <v>October</v>
      </c>
      <c r="H566" s="2" t="str">
        <f t="shared" si="25"/>
        <v>Week 5</v>
      </c>
      <c r="I566" s="2" t="str">
        <f t="shared" si="26"/>
        <v>Quarter 4</v>
      </c>
    </row>
    <row r="567" spans="1:9" x14ac:dyDescent="0.25">
      <c r="A567">
        <v>2000086570</v>
      </c>
      <c r="B567" t="s">
        <v>27</v>
      </c>
      <c r="C567" t="s">
        <v>9</v>
      </c>
      <c r="D567">
        <v>15.65</v>
      </c>
      <c r="F567" s="3">
        <v>44131</v>
      </c>
      <c r="G567" s="2" t="str">
        <f t="shared" si="24"/>
        <v>October</v>
      </c>
      <c r="H567" s="2" t="str">
        <f t="shared" si="25"/>
        <v>Week 5</v>
      </c>
      <c r="I567" s="2" t="str">
        <f t="shared" si="26"/>
        <v>Quarter 4</v>
      </c>
    </row>
    <row r="568" spans="1:9" x14ac:dyDescent="0.25">
      <c r="A568">
        <v>2000086378</v>
      </c>
      <c r="B568" t="s">
        <v>27</v>
      </c>
      <c r="C568" t="s">
        <v>18</v>
      </c>
      <c r="D568">
        <v>160.63999999999999</v>
      </c>
      <c r="F568" s="3">
        <v>44131</v>
      </c>
      <c r="G568" s="2" t="str">
        <f t="shared" si="24"/>
        <v>October</v>
      </c>
      <c r="H568" s="2" t="str">
        <f t="shared" si="25"/>
        <v>Week 5</v>
      </c>
      <c r="I568" s="2" t="str">
        <f t="shared" si="26"/>
        <v>Quarter 4</v>
      </c>
    </row>
    <row r="569" spans="1:9" x14ac:dyDescent="0.25">
      <c r="A569">
        <v>2000086486</v>
      </c>
      <c r="B569" t="s">
        <v>27</v>
      </c>
      <c r="C569" t="s">
        <v>12</v>
      </c>
      <c r="D569">
        <v>80.599999999999994</v>
      </c>
      <c r="F569" s="3">
        <v>44131</v>
      </c>
      <c r="G569" s="2" t="str">
        <f t="shared" si="24"/>
        <v>October</v>
      </c>
      <c r="H569" s="2" t="str">
        <f t="shared" si="25"/>
        <v>Week 5</v>
      </c>
      <c r="I569" s="2" t="str">
        <f t="shared" si="26"/>
        <v>Quarter 4</v>
      </c>
    </row>
    <row r="570" spans="1:9" x14ac:dyDescent="0.25">
      <c r="A570">
        <v>2000086487</v>
      </c>
      <c r="B570" t="s">
        <v>27</v>
      </c>
      <c r="C570" t="s">
        <v>12</v>
      </c>
      <c r="D570">
        <v>97.4</v>
      </c>
      <c r="F570" s="3">
        <v>44131</v>
      </c>
      <c r="G570" s="2" t="str">
        <f t="shared" si="24"/>
        <v>October</v>
      </c>
      <c r="H570" s="2" t="str">
        <f t="shared" si="25"/>
        <v>Week 5</v>
      </c>
      <c r="I570" s="2" t="str">
        <f t="shared" si="26"/>
        <v>Quarter 4</v>
      </c>
    </row>
    <row r="571" spans="1:9" x14ac:dyDescent="0.25">
      <c r="A571">
        <v>2000086488</v>
      </c>
      <c r="B571" t="s">
        <v>27</v>
      </c>
      <c r="C571" t="s">
        <v>12</v>
      </c>
      <c r="D571">
        <v>7.8</v>
      </c>
      <c r="F571" s="3">
        <v>44131</v>
      </c>
      <c r="G571" s="2" t="str">
        <f t="shared" si="24"/>
        <v>October</v>
      </c>
      <c r="H571" s="2" t="str">
        <f t="shared" si="25"/>
        <v>Week 5</v>
      </c>
      <c r="I571" s="2" t="str">
        <f t="shared" si="26"/>
        <v>Quarter 4</v>
      </c>
    </row>
    <row r="572" spans="1:9" x14ac:dyDescent="0.25">
      <c r="A572">
        <v>2000086451</v>
      </c>
      <c r="B572" t="s">
        <v>27</v>
      </c>
      <c r="C572" t="s">
        <v>21</v>
      </c>
      <c r="D572">
        <v>28.62</v>
      </c>
      <c r="F572" s="3">
        <v>44131</v>
      </c>
      <c r="G572" s="2" t="str">
        <f t="shared" si="24"/>
        <v>October</v>
      </c>
      <c r="H572" s="2" t="str">
        <f t="shared" si="25"/>
        <v>Week 5</v>
      </c>
      <c r="I572" s="2" t="str">
        <f t="shared" si="26"/>
        <v>Quarter 4</v>
      </c>
    </row>
    <row r="573" spans="1:9" x14ac:dyDescent="0.25">
      <c r="A573">
        <v>2000086451</v>
      </c>
      <c r="B573" t="s">
        <v>27</v>
      </c>
      <c r="C573" t="s">
        <v>21</v>
      </c>
      <c r="D573">
        <v>24.45</v>
      </c>
      <c r="F573" s="3">
        <v>44131</v>
      </c>
      <c r="G573" s="2" t="str">
        <f t="shared" si="24"/>
        <v>October</v>
      </c>
      <c r="H573" s="2" t="str">
        <f t="shared" si="25"/>
        <v>Week 5</v>
      </c>
      <c r="I573" s="2" t="str">
        <f t="shared" si="26"/>
        <v>Quarter 4</v>
      </c>
    </row>
    <row r="574" spans="1:9" x14ac:dyDescent="0.25">
      <c r="A574">
        <v>2000086489</v>
      </c>
      <c r="B574" t="s">
        <v>27</v>
      </c>
      <c r="C574" t="s">
        <v>12</v>
      </c>
      <c r="D574">
        <v>18.899999999999999</v>
      </c>
      <c r="F574" s="3">
        <v>44131</v>
      </c>
      <c r="G574" s="2" t="str">
        <f t="shared" si="24"/>
        <v>October</v>
      </c>
      <c r="H574" s="2" t="str">
        <f t="shared" si="25"/>
        <v>Week 5</v>
      </c>
      <c r="I574" s="2" t="str">
        <f t="shared" si="26"/>
        <v>Quarter 4</v>
      </c>
    </row>
    <row r="575" spans="1:9" x14ac:dyDescent="0.25">
      <c r="A575">
        <v>2000086572</v>
      </c>
      <c r="B575" t="s">
        <v>27</v>
      </c>
      <c r="C575" t="s">
        <v>9</v>
      </c>
      <c r="D575">
        <v>7.8</v>
      </c>
      <c r="F575" s="3">
        <v>44131</v>
      </c>
      <c r="G575" s="2" t="str">
        <f t="shared" si="24"/>
        <v>October</v>
      </c>
      <c r="H575" s="2" t="str">
        <f t="shared" si="25"/>
        <v>Week 5</v>
      </c>
      <c r="I575" s="2" t="str">
        <f t="shared" si="26"/>
        <v>Quarter 4</v>
      </c>
    </row>
    <row r="576" spans="1:9" x14ac:dyDescent="0.25">
      <c r="A576">
        <v>2000086573</v>
      </c>
      <c r="B576" t="s">
        <v>27</v>
      </c>
      <c r="C576" t="s">
        <v>9</v>
      </c>
      <c r="D576">
        <v>94.3</v>
      </c>
      <c r="F576" s="3">
        <v>44131</v>
      </c>
      <c r="G576" s="2" t="str">
        <f t="shared" si="24"/>
        <v>October</v>
      </c>
      <c r="H576" s="2" t="str">
        <f t="shared" si="25"/>
        <v>Week 5</v>
      </c>
      <c r="I576" s="2" t="str">
        <f t="shared" si="26"/>
        <v>Quarter 4</v>
      </c>
    </row>
    <row r="577" spans="1:9" x14ac:dyDescent="0.25">
      <c r="A577">
        <v>2000086318</v>
      </c>
      <c r="B577" t="s">
        <v>27</v>
      </c>
      <c r="C577" t="s">
        <v>18</v>
      </c>
      <c r="D577">
        <v>339.4</v>
      </c>
      <c r="F577" s="3">
        <v>44131</v>
      </c>
      <c r="G577" s="2" t="str">
        <f t="shared" si="24"/>
        <v>October</v>
      </c>
      <c r="H577" s="2" t="str">
        <f t="shared" si="25"/>
        <v>Week 5</v>
      </c>
      <c r="I577" s="2" t="str">
        <f t="shared" si="26"/>
        <v>Quarter 4</v>
      </c>
    </row>
    <row r="578" spans="1:9" x14ac:dyDescent="0.25">
      <c r="A578">
        <v>2000086363</v>
      </c>
      <c r="B578" t="s">
        <v>27</v>
      </c>
      <c r="C578" t="s">
        <v>18</v>
      </c>
      <c r="D578">
        <v>203.7</v>
      </c>
      <c r="F578" s="3">
        <v>44131</v>
      </c>
      <c r="G578" s="2" t="str">
        <f t="shared" si="24"/>
        <v>October</v>
      </c>
      <c r="H578" s="2" t="str">
        <f t="shared" si="25"/>
        <v>Week 5</v>
      </c>
      <c r="I578" s="2" t="str">
        <f t="shared" si="26"/>
        <v>Quarter 4</v>
      </c>
    </row>
    <row r="579" spans="1:9" x14ac:dyDescent="0.25">
      <c r="A579">
        <v>2000086574</v>
      </c>
      <c r="B579" t="s">
        <v>27</v>
      </c>
      <c r="C579" t="s">
        <v>9</v>
      </c>
      <c r="D579">
        <v>15.65</v>
      </c>
      <c r="F579" s="3">
        <v>44131</v>
      </c>
      <c r="G579" s="2" t="str">
        <f t="shared" ref="G579:G642" si="27">TEXT(F579,"mmmm")</f>
        <v>October</v>
      </c>
      <c r="H579" s="2" t="str">
        <f t="shared" ref="H579:H642" si="28">"Week "&amp;((WEEKNUM(F579)-WEEKNUM(DATE(YEAR(F579),MONTH(F579),1))+1))</f>
        <v>Week 5</v>
      </c>
      <c r="I579" s="2" t="str">
        <f t="shared" ref="I579:I642" si="29">"Quarter " &amp; ROUNDUP((MONTH(F579))/3,0)</f>
        <v>Quarter 4</v>
      </c>
    </row>
    <row r="580" spans="1:9" x14ac:dyDescent="0.25">
      <c r="A580">
        <v>2000086243</v>
      </c>
      <c r="B580" t="s">
        <v>27</v>
      </c>
      <c r="C580" t="s">
        <v>18</v>
      </c>
      <c r="D580">
        <v>2750.65</v>
      </c>
      <c r="F580" s="3">
        <v>44131</v>
      </c>
      <c r="G580" s="2" t="str">
        <f t="shared" si="27"/>
        <v>October</v>
      </c>
      <c r="H580" s="2" t="str">
        <f t="shared" si="28"/>
        <v>Week 5</v>
      </c>
      <c r="I580" s="2" t="str">
        <f t="shared" si="29"/>
        <v>Quarter 4</v>
      </c>
    </row>
    <row r="581" spans="1:9" x14ac:dyDescent="0.25">
      <c r="A581">
        <v>2000086230</v>
      </c>
      <c r="B581" t="s">
        <v>27</v>
      </c>
      <c r="C581" t="s">
        <v>18</v>
      </c>
      <c r="D581">
        <v>6905.05</v>
      </c>
      <c r="F581" s="3">
        <v>44131</v>
      </c>
      <c r="G581" s="2" t="str">
        <f t="shared" si="27"/>
        <v>October</v>
      </c>
      <c r="H581" s="2" t="str">
        <f t="shared" si="28"/>
        <v>Week 5</v>
      </c>
      <c r="I581" s="2" t="str">
        <f t="shared" si="29"/>
        <v>Quarter 4</v>
      </c>
    </row>
    <row r="582" spans="1:9" x14ac:dyDescent="0.25">
      <c r="A582">
        <v>2000086306</v>
      </c>
      <c r="B582" t="s">
        <v>27</v>
      </c>
      <c r="C582" t="s">
        <v>12</v>
      </c>
      <c r="D582">
        <v>40.1</v>
      </c>
      <c r="F582" s="3">
        <v>44131</v>
      </c>
      <c r="G582" s="2" t="str">
        <f t="shared" si="27"/>
        <v>October</v>
      </c>
      <c r="H582" s="2" t="str">
        <f t="shared" si="28"/>
        <v>Week 5</v>
      </c>
      <c r="I582" s="2" t="str">
        <f t="shared" si="29"/>
        <v>Quarter 4</v>
      </c>
    </row>
    <row r="583" spans="1:9" x14ac:dyDescent="0.25">
      <c r="A583">
        <v>2000086575</v>
      </c>
      <c r="B583" t="s">
        <v>27</v>
      </c>
      <c r="C583" t="s">
        <v>9</v>
      </c>
      <c r="D583">
        <v>6.3</v>
      </c>
      <c r="F583" s="3">
        <v>44131</v>
      </c>
      <c r="G583" s="2" t="str">
        <f t="shared" si="27"/>
        <v>October</v>
      </c>
      <c r="H583" s="2" t="str">
        <f t="shared" si="28"/>
        <v>Week 5</v>
      </c>
      <c r="I583" s="2" t="str">
        <f t="shared" si="29"/>
        <v>Quarter 4</v>
      </c>
    </row>
    <row r="584" spans="1:9" x14ac:dyDescent="0.25">
      <c r="A584">
        <v>2000086316</v>
      </c>
      <c r="B584" t="s">
        <v>27</v>
      </c>
      <c r="C584" t="s">
        <v>18</v>
      </c>
      <c r="D584">
        <v>344.7</v>
      </c>
      <c r="F584" s="3">
        <v>44131</v>
      </c>
      <c r="G584" s="2" t="str">
        <f t="shared" si="27"/>
        <v>October</v>
      </c>
      <c r="H584" s="2" t="str">
        <f t="shared" si="28"/>
        <v>Week 5</v>
      </c>
      <c r="I584" s="2" t="str">
        <f t="shared" si="29"/>
        <v>Quarter 4</v>
      </c>
    </row>
    <row r="585" spans="1:9" x14ac:dyDescent="0.25">
      <c r="A585">
        <v>2000086320</v>
      </c>
      <c r="B585" t="s">
        <v>27</v>
      </c>
      <c r="C585" t="s">
        <v>18</v>
      </c>
      <c r="D585">
        <v>328.6</v>
      </c>
      <c r="F585" s="3">
        <v>44131</v>
      </c>
      <c r="G585" s="2" t="str">
        <f t="shared" si="27"/>
        <v>October</v>
      </c>
      <c r="H585" s="2" t="str">
        <f t="shared" si="28"/>
        <v>Week 5</v>
      </c>
      <c r="I585" s="2" t="str">
        <f t="shared" si="29"/>
        <v>Quarter 4</v>
      </c>
    </row>
    <row r="586" spans="1:9" x14ac:dyDescent="0.25">
      <c r="A586">
        <v>2000086389</v>
      </c>
      <c r="B586" t="s">
        <v>27</v>
      </c>
      <c r="C586" t="s">
        <v>12</v>
      </c>
      <c r="D586">
        <v>21052.2</v>
      </c>
      <c r="F586" s="3">
        <v>44131</v>
      </c>
      <c r="G586" s="2" t="str">
        <f t="shared" si="27"/>
        <v>October</v>
      </c>
      <c r="H586" s="2" t="str">
        <f t="shared" si="28"/>
        <v>Week 5</v>
      </c>
      <c r="I586" s="2" t="str">
        <f t="shared" si="29"/>
        <v>Quarter 4</v>
      </c>
    </row>
    <row r="587" spans="1:9" x14ac:dyDescent="0.25">
      <c r="A587">
        <v>2000086465</v>
      </c>
      <c r="B587" t="s">
        <v>27</v>
      </c>
      <c r="C587" t="s">
        <v>12</v>
      </c>
      <c r="D587">
        <v>15.1</v>
      </c>
      <c r="F587" s="3">
        <v>44131</v>
      </c>
      <c r="G587" s="2" t="str">
        <f t="shared" si="27"/>
        <v>October</v>
      </c>
      <c r="H587" s="2" t="str">
        <f t="shared" si="28"/>
        <v>Week 5</v>
      </c>
      <c r="I587" s="2" t="str">
        <f t="shared" si="29"/>
        <v>Quarter 4</v>
      </c>
    </row>
    <row r="588" spans="1:9" x14ac:dyDescent="0.25">
      <c r="A588">
        <v>2000086576</v>
      </c>
      <c r="B588" t="s">
        <v>27</v>
      </c>
      <c r="C588" t="s">
        <v>9</v>
      </c>
      <c r="D588">
        <v>31.35</v>
      </c>
      <c r="F588" s="3">
        <v>44131</v>
      </c>
      <c r="G588" s="2" t="str">
        <f t="shared" si="27"/>
        <v>October</v>
      </c>
      <c r="H588" s="2" t="str">
        <f t="shared" si="28"/>
        <v>Week 5</v>
      </c>
      <c r="I588" s="2" t="str">
        <f t="shared" si="29"/>
        <v>Quarter 4</v>
      </c>
    </row>
    <row r="589" spans="1:9" x14ac:dyDescent="0.25">
      <c r="A589">
        <v>2000086387</v>
      </c>
      <c r="B589" t="s">
        <v>27</v>
      </c>
      <c r="C589" t="s">
        <v>12</v>
      </c>
      <c r="D589">
        <v>140.94999999999999</v>
      </c>
      <c r="F589" s="3">
        <v>44131</v>
      </c>
      <c r="G589" s="2" t="str">
        <f t="shared" si="27"/>
        <v>October</v>
      </c>
      <c r="H589" s="2" t="str">
        <f t="shared" si="28"/>
        <v>Week 5</v>
      </c>
      <c r="I589" s="2" t="str">
        <f t="shared" si="29"/>
        <v>Quarter 4</v>
      </c>
    </row>
    <row r="590" spans="1:9" x14ac:dyDescent="0.25">
      <c r="A590">
        <v>2000086473</v>
      </c>
      <c r="B590" t="s">
        <v>27</v>
      </c>
      <c r="C590" t="s">
        <v>12</v>
      </c>
      <c r="D590">
        <v>13.2</v>
      </c>
      <c r="F590" s="3">
        <v>44131</v>
      </c>
      <c r="G590" s="2" t="str">
        <f t="shared" si="27"/>
        <v>October</v>
      </c>
      <c r="H590" s="2" t="str">
        <f t="shared" si="28"/>
        <v>Week 5</v>
      </c>
      <c r="I590" s="2" t="str">
        <f t="shared" si="29"/>
        <v>Quarter 4</v>
      </c>
    </row>
    <row r="591" spans="1:9" x14ac:dyDescent="0.25">
      <c r="A591">
        <v>2000086578</v>
      </c>
      <c r="B591" t="s">
        <v>27</v>
      </c>
      <c r="C591" t="s">
        <v>9</v>
      </c>
      <c r="D591">
        <v>7.8</v>
      </c>
      <c r="F591" s="3">
        <v>44131</v>
      </c>
      <c r="G591" s="2" t="str">
        <f t="shared" si="27"/>
        <v>October</v>
      </c>
      <c r="H591" s="2" t="str">
        <f t="shared" si="28"/>
        <v>Week 5</v>
      </c>
      <c r="I591" s="2" t="str">
        <f t="shared" si="29"/>
        <v>Quarter 4</v>
      </c>
    </row>
    <row r="592" spans="1:9" x14ac:dyDescent="0.25">
      <c r="A592">
        <v>2000086358</v>
      </c>
      <c r="B592" t="s">
        <v>27</v>
      </c>
      <c r="C592" t="s">
        <v>12</v>
      </c>
      <c r="D592">
        <v>136.05000000000001</v>
      </c>
      <c r="F592" s="3">
        <v>44131</v>
      </c>
      <c r="G592" s="2" t="str">
        <f t="shared" si="27"/>
        <v>October</v>
      </c>
      <c r="H592" s="2" t="str">
        <f t="shared" si="28"/>
        <v>Week 5</v>
      </c>
      <c r="I592" s="2" t="str">
        <f t="shared" si="29"/>
        <v>Quarter 4</v>
      </c>
    </row>
    <row r="593" spans="1:9" x14ac:dyDescent="0.25">
      <c r="A593">
        <v>2000086185</v>
      </c>
      <c r="B593" t="s">
        <v>27</v>
      </c>
      <c r="C593" t="s">
        <v>12</v>
      </c>
      <c r="D593">
        <v>76.55</v>
      </c>
      <c r="F593" s="3">
        <v>44131</v>
      </c>
      <c r="G593" s="2" t="str">
        <f t="shared" si="27"/>
        <v>October</v>
      </c>
      <c r="H593" s="2" t="str">
        <f t="shared" si="28"/>
        <v>Week 5</v>
      </c>
      <c r="I593" s="2" t="str">
        <f t="shared" si="29"/>
        <v>Quarter 4</v>
      </c>
    </row>
    <row r="594" spans="1:9" x14ac:dyDescent="0.25">
      <c r="A594">
        <v>2000086367</v>
      </c>
      <c r="B594" t="s">
        <v>27</v>
      </c>
      <c r="C594" t="s">
        <v>18</v>
      </c>
      <c r="D594">
        <v>181.4</v>
      </c>
      <c r="F594" s="3">
        <v>44131</v>
      </c>
      <c r="G594" s="2" t="str">
        <f t="shared" si="27"/>
        <v>October</v>
      </c>
      <c r="H594" s="2" t="str">
        <f t="shared" si="28"/>
        <v>Week 5</v>
      </c>
      <c r="I594" s="2" t="str">
        <f t="shared" si="29"/>
        <v>Quarter 4</v>
      </c>
    </row>
    <row r="595" spans="1:9" x14ac:dyDescent="0.25">
      <c r="A595">
        <v>2000086371</v>
      </c>
      <c r="B595" t="s">
        <v>27</v>
      </c>
      <c r="C595" t="s">
        <v>18</v>
      </c>
      <c r="D595">
        <v>174.8</v>
      </c>
      <c r="F595" s="3">
        <v>44131</v>
      </c>
      <c r="G595" s="2" t="str">
        <f t="shared" si="27"/>
        <v>October</v>
      </c>
      <c r="H595" s="2" t="str">
        <f t="shared" si="28"/>
        <v>Week 5</v>
      </c>
      <c r="I595" s="2" t="str">
        <f t="shared" si="29"/>
        <v>Quarter 4</v>
      </c>
    </row>
    <row r="596" spans="1:9" x14ac:dyDescent="0.25">
      <c r="A596">
        <v>2000086368</v>
      </c>
      <c r="B596" t="s">
        <v>27</v>
      </c>
      <c r="C596" t="s">
        <v>18</v>
      </c>
      <c r="D596">
        <v>177.6</v>
      </c>
      <c r="F596" s="3">
        <v>44131</v>
      </c>
      <c r="G596" s="2" t="str">
        <f t="shared" si="27"/>
        <v>October</v>
      </c>
      <c r="H596" s="2" t="str">
        <f t="shared" si="28"/>
        <v>Week 5</v>
      </c>
      <c r="I596" s="2" t="str">
        <f t="shared" si="29"/>
        <v>Quarter 4</v>
      </c>
    </row>
    <row r="597" spans="1:9" x14ac:dyDescent="0.25">
      <c r="A597">
        <v>2000086302</v>
      </c>
      <c r="B597" t="s">
        <v>27</v>
      </c>
      <c r="C597" t="s">
        <v>12</v>
      </c>
      <c r="D597">
        <v>39.4</v>
      </c>
      <c r="F597" s="3">
        <v>44131</v>
      </c>
      <c r="G597" s="2" t="str">
        <f t="shared" si="27"/>
        <v>October</v>
      </c>
      <c r="H597" s="2" t="str">
        <f t="shared" si="28"/>
        <v>Week 5</v>
      </c>
      <c r="I597" s="2" t="str">
        <f t="shared" si="29"/>
        <v>Quarter 4</v>
      </c>
    </row>
    <row r="598" spans="1:9" x14ac:dyDescent="0.25">
      <c r="A598">
        <v>2000086302</v>
      </c>
      <c r="B598" t="s">
        <v>27</v>
      </c>
      <c r="C598" t="s">
        <v>12</v>
      </c>
      <c r="D598">
        <v>67.2</v>
      </c>
      <c r="F598" s="3">
        <v>44131</v>
      </c>
      <c r="G598" s="2" t="str">
        <f t="shared" si="27"/>
        <v>October</v>
      </c>
      <c r="H598" s="2" t="str">
        <f t="shared" si="28"/>
        <v>Week 5</v>
      </c>
      <c r="I598" s="2" t="str">
        <f t="shared" si="29"/>
        <v>Quarter 4</v>
      </c>
    </row>
    <row r="599" spans="1:9" x14ac:dyDescent="0.25">
      <c r="A599">
        <v>2000086579</v>
      </c>
      <c r="B599" t="s">
        <v>27</v>
      </c>
      <c r="C599" t="s">
        <v>9</v>
      </c>
      <c r="D599">
        <v>36.549999999999997</v>
      </c>
      <c r="F599" s="3">
        <v>44131</v>
      </c>
      <c r="G599" s="2" t="str">
        <f t="shared" si="27"/>
        <v>October</v>
      </c>
      <c r="H599" s="2" t="str">
        <f t="shared" si="28"/>
        <v>Week 5</v>
      </c>
      <c r="I599" s="2" t="str">
        <f t="shared" si="29"/>
        <v>Quarter 4</v>
      </c>
    </row>
    <row r="600" spans="1:9" x14ac:dyDescent="0.25">
      <c r="A600">
        <v>2000086256</v>
      </c>
      <c r="B600" t="s">
        <v>27</v>
      </c>
      <c r="C600" t="s">
        <v>18</v>
      </c>
      <c r="D600">
        <v>1350.85</v>
      </c>
      <c r="F600" s="3">
        <v>44131</v>
      </c>
      <c r="G600" s="2" t="str">
        <f t="shared" si="27"/>
        <v>October</v>
      </c>
      <c r="H600" s="2" t="str">
        <f t="shared" si="28"/>
        <v>Week 5</v>
      </c>
      <c r="I600" s="2" t="str">
        <f t="shared" si="29"/>
        <v>Quarter 4</v>
      </c>
    </row>
    <row r="601" spans="1:9" x14ac:dyDescent="0.25">
      <c r="A601">
        <v>2000086466</v>
      </c>
      <c r="B601" t="s">
        <v>27</v>
      </c>
      <c r="C601" t="s">
        <v>12</v>
      </c>
      <c r="D601">
        <v>15.4</v>
      </c>
      <c r="F601" s="3">
        <v>44131</v>
      </c>
      <c r="G601" s="2" t="str">
        <f t="shared" si="27"/>
        <v>October</v>
      </c>
      <c r="H601" s="2" t="str">
        <f t="shared" si="28"/>
        <v>Week 5</v>
      </c>
      <c r="I601" s="2" t="str">
        <f t="shared" si="29"/>
        <v>Quarter 4</v>
      </c>
    </row>
    <row r="602" spans="1:9" x14ac:dyDescent="0.25">
      <c r="A602">
        <v>2000086309</v>
      </c>
      <c r="B602" t="s">
        <v>27</v>
      </c>
      <c r="C602" t="s">
        <v>12</v>
      </c>
      <c r="D602">
        <v>101.8</v>
      </c>
      <c r="F602" s="3">
        <v>44131</v>
      </c>
      <c r="G602" s="2" t="str">
        <f t="shared" si="27"/>
        <v>October</v>
      </c>
      <c r="H602" s="2" t="str">
        <f t="shared" si="28"/>
        <v>Week 5</v>
      </c>
      <c r="I602" s="2" t="str">
        <f t="shared" si="29"/>
        <v>Quarter 4</v>
      </c>
    </row>
    <row r="603" spans="1:9" x14ac:dyDescent="0.25">
      <c r="A603">
        <v>2000086467</v>
      </c>
      <c r="B603" t="s">
        <v>27</v>
      </c>
      <c r="C603" t="s">
        <v>12</v>
      </c>
      <c r="D603">
        <v>32.299999999999997</v>
      </c>
      <c r="F603" s="3">
        <v>44131</v>
      </c>
      <c r="G603" s="2" t="str">
        <f t="shared" si="27"/>
        <v>October</v>
      </c>
      <c r="H603" s="2" t="str">
        <f t="shared" si="28"/>
        <v>Week 5</v>
      </c>
      <c r="I603" s="2" t="str">
        <f t="shared" si="29"/>
        <v>Quarter 4</v>
      </c>
    </row>
    <row r="604" spans="1:9" x14ac:dyDescent="0.25">
      <c r="A604">
        <v>2000086581</v>
      </c>
      <c r="B604" t="s">
        <v>27</v>
      </c>
      <c r="C604" t="s">
        <v>9</v>
      </c>
      <c r="D604">
        <v>35</v>
      </c>
      <c r="F604" s="3">
        <v>44131</v>
      </c>
      <c r="G604" s="2" t="str">
        <f t="shared" si="27"/>
        <v>October</v>
      </c>
      <c r="H604" s="2" t="str">
        <f t="shared" si="28"/>
        <v>Week 5</v>
      </c>
      <c r="I604" s="2" t="str">
        <f t="shared" si="29"/>
        <v>Quarter 4</v>
      </c>
    </row>
    <row r="605" spans="1:9" x14ac:dyDescent="0.25">
      <c r="A605">
        <v>2000086582</v>
      </c>
      <c r="B605" t="s">
        <v>27</v>
      </c>
      <c r="C605" t="s">
        <v>9</v>
      </c>
      <c r="D605">
        <v>28.85</v>
      </c>
      <c r="F605" s="3">
        <v>44131</v>
      </c>
      <c r="G605" s="2" t="str">
        <f t="shared" si="27"/>
        <v>October</v>
      </c>
      <c r="H605" s="2" t="str">
        <f t="shared" si="28"/>
        <v>Week 5</v>
      </c>
      <c r="I605" s="2" t="str">
        <f t="shared" si="29"/>
        <v>Quarter 4</v>
      </c>
    </row>
    <row r="606" spans="1:9" x14ac:dyDescent="0.25">
      <c r="A606">
        <v>2000086584</v>
      </c>
      <c r="B606" t="s">
        <v>27</v>
      </c>
      <c r="C606" t="s">
        <v>9</v>
      </c>
      <c r="D606">
        <v>31.3</v>
      </c>
      <c r="F606" s="3">
        <v>44131</v>
      </c>
      <c r="G606" s="2" t="str">
        <f t="shared" si="27"/>
        <v>October</v>
      </c>
      <c r="H606" s="2" t="str">
        <f t="shared" si="28"/>
        <v>Week 5</v>
      </c>
      <c r="I606" s="2" t="str">
        <f t="shared" si="29"/>
        <v>Quarter 4</v>
      </c>
    </row>
    <row r="607" spans="1:9" x14ac:dyDescent="0.25">
      <c r="A607">
        <v>2000086585</v>
      </c>
      <c r="B607" t="s">
        <v>27</v>
      </c>
      <c r="C607" t="s">
        <v>9</v>
      </c>
      <c r="D607">
        <v>7.8</v>
      </c>
      <c r="F607" s="3">
        <v>44131</v>
      </c>
      <c r="G607" s="2" t="str">
        <f t="shared" si="27"/>
        <v>October</v>
      </c>
      <c r="H607" s="2" t="str">
        <f t="shared" si="28"/>
        <v>Week 5</v>
      </c>
      <c r="I607" s="2" t="str">
        <f t="shared" si="29"/>
        <v>Quarter 4</v>
      </c>
    </row>
    <row r="608" spans="1:9" x14ac:dyDescent="0.25">
      <c r="A608">
        <v>2000086586</v>
      </c>
      <c r="B608" t="s">
        <v>27</v>
      </c>
      <c r="C608" t="s">
        <v>9</v>
      </c>
      <c r="D608">
        <v>74.400000000000006</v>
      </c>
      <c r="F608" s="3">
        <v>44131</v>
      </c>
      <c r="G608" s="2" t="str">
        <f t="shared" si="27"/>
        <v>October</v>
      </c>
      <c r="H608" s="2" t="str">
        <f t="shared" si="28"/>
        <v>Week 5</v>
      </c>
      <c r="I608" s="2" t="str">
        <f t="shared" si="29"/>
        <v>Quarter 4</v>
      </c>
    </row>
    <row r="609" spans="1:9" x14ac:dyDescent="0.25">
      <c r="A609">
        <v>2000086468</v>
      </c>
      <c r="B609" t="s">
        <v>27</v>
      </c>
      <c r="C609" t="s">
        <v>12</v>
      </c>
      <c r="D609">
        <v>32.15</v>
      </c>
      <c r="F609" s="3">
        <v>44131</v>
      </c>
      <c r="G609" s="2" t="str">
        <f t="shared" si="27"/>
        <v>October</v>
      </c>
      <c r="H609" s="2" t="str">
        <f t="shared" si="28"/>
        <v>Week 5</v>
      </c>
      <c r="I609" s="2" t="str">
        <f t="shared" si="29"/>
        <v>Quarter 4</v>
      </c>
    </row>
    <row r="610" spans="1:9" x14ac:dyDescent="0.25">
      <c r="A610">
        <v>2000086310</v>
      </c>
      <c r="B610" t="s">
        <v>27</v>
      </c>
      <c r="C610" t="s">
        <v>12</v>
      </c>
      <c r="D610">
        <v>105.86</v>
      </c>
      <c r="F610" s="3">
        <v>44131</v>
      </c>
      <c r="G610" s="2" t="str">
        <f t="shared" si="27"/>
        <v>October</v>
      </c>
      <c r="H610" s="2" t="str">
        <f t="shared" si="28"/>
        <v>Week 5</v>
      </c>
      <c r="I610" s="2" t="str">
        <f t="shared" si="29"/>
        <v>Quarter 4</v>
      </c>
    </row>
    <row r="611" spans="1:9" x14ac:dyDescent="0.25">
      <c r="A611">
        <v>2000086435</v>
      </c>
      <c r="B611" t="s">
        <v>27</v>
      </c>
      <c r="C611" t="s">
        <v>12</v>
      </c>
      <c r="D611">
        <v>55.85</v>
      </c>
      <c r="F611" s="3">
        <v>44131</v>
      </c>
      <c r="G611" s="2" t="str">
        <f t="shared" si="27"/>
        <v>October</v>
      </c>
      <c r="H611" s="2" t="str">
        <f t="shared" si="28"/>
        <v>Week 5</v>
      </c>
      <c r="I611" s="2" t="str">
        <f t="shared" si="29"/>
        <v>Quarter 4</v>
      </c>
    </row>
    <row r="612" spans="1:9" x14ac:dyDescent="0.25">
      <c r="A612">
        <v>2000086593</v>
      </c>
      <c r="B612" t="s">
        <v>27</v>
      </c>
      <c r="C612" t="s">
        <v>9</v>
      </c>
      <c r="D612">
        <v>81.8</v>
      </c>
      <c r="F612" s="3">
        <v>44131</v>
      </c>
      <c r="G612" s="2" t="str">
        <f t="shared" si="27"/>
        <v>October</v>
      </c>
      <c r="H612" s="2" t="str">
        <f t="shared" si="28"/>
        <v>Week 5</v>
      </c>
      <c r="I612" s="2" t="str">
        <f t="shared" si="29"/>
        <v>Quarter 4</v>
      </c>
    </row>
    <row r="613" spans="1:9" x14ac:dyDescent="0.25">
      <c r="A613">
        <v>2000086229</v>
      </c>
      <c r="B613" t="s">
        <v>27</v>
      </c>
      <c r="C613" t="s">
        <v>18</v>
      </c>
      <c r="D613">
        <v>7208.25</v>
      </c>
      <c r="F613" s="3">
        <v>44131</v>
      </c>
      <c r="G613" s="2" t="str">
        <f t="shared" si="27"/>
        <v>October</v>
      </c>
      <c r="H613" s="2" t="str">
        <f t="shared" si="28"/>
        <v>Week 5</v>
      </c>
      <c r="I613" s="2" t="str">
        <f t="shared" si="29"/>
        <v>Quarter 4</v>
      </c>
    </row>
    <row r="614" spans="1:9" x14ac:dyDescent="0.25">
      <c r="A614">
        <v>2000086321</v>
      </c>
      <c r="B614" t="s">
        <v>27</v>
      </c>
      <c r="C614" t="s">
        <v>12</v>
      </c>
      <c r="D614">
        <v>115.45</v>
      </c>
      <c r="F614" s="3">
        <v>44131</v>
      </c>
      <c r="G614" s="2" t="str">
        <f t="shared" si="27"/>
        <v>October</v>
      </c>
      <c r="H614" s="2" t="str">
        <f t="shared" si="28"/>
        <v>Week 5</v>
      </c>
      <c r="I614" s="2" t="str">
        <f t="shared" si="29"/>
        <v>Quarter 4</v>
      </c>
    </row>
    <row r="615" spans="1:9" x14ac:dyDescent="0.25">
      <c r="A615">
        <v>2000086594</v>
      </c>
      <c r="B615" t="s">
        <v>27</v>
      </c>
      <c r="C615" t="s">
        <v>9</v>
      </c>
      <c r="D615">
        <v>51.35</v>
      </c>
      <c r="F615" s="3">
        <v>44131</v>
      </c>
      <c r="G615" s="2" t="str">
        <f t="shared" si="27"/>
        <v>October</v>
      </c>
      <c r="H615" s="2" t="str">
        <f t="shared" si="28"/>
        <v>Week 5</v>
      </c>
      <c r="I615" s="2" t="str">
        <f t="shared" si="29"/>
        <v>Quarter 4</v>
      </c>
    </row>
    <row r="616" spans="1:9" x14ac:dyDescent="0.25">
      <c r="A616">
        <v>2000086322</v>
      </c>
      <c r="B616" t="s">
        <v>27</v>
      </c>
      <c r="C616" t="s">
        <v>18</v>
      </c>
      <c r="D616">
        <v>328.05</v>
      </c>
      <c r="F616" s="3">
        <v>44131</v>
      </c>
      <c r="G616" s="2" t="str">
        <f t="shared" si="27"/>
        <v>October</v>
      </c>
      <c r="H616" s="2" t="str">
        <f t="shared" si="28"/>
        <v>Week 5</v>
      </c>
      <c r="I616" s="2" t="str">
        <f t="shared" si="29"/>
        <v>Quarter 4</v>
      </c>
    </row>
    <row r="617" spans="1:9" x14ac:dyDescent="0.25">
      <c r="A617">
        <v>2000086379</v>
      </c>
      <c r="B617" t="s">
        <v>27</v>
      </c>
      <c r="C617" t="s">
        <v>18</v>
      </c>
      <c r="D617">
        <v>154.75</v>
      </c>
      <c r="F617" s="3">
        <v>44131</v>
      </c>
      <c r="G617" s="2" t="str">
        <f t="shared" si="27"/>
        <v>October</v>
      </c>
      <c r="H617" s="2" t="str">
        <f t="shared" si="28"/>
        <v>Week 5</v>
      </c>
      <c r="I617" s="2" t="str">
        <f t="shared" si="29"/>
        <v>Quarter 4</v>
      </c>
    </row>
    <row r="618" spans="1:9" x14ac:dyDescent="0.25">
      <c r="A618">
        <v>2000086375</v>
      </c>
      <c r="B618" t="s">
        <v>27</v>
      </c>
      <c r="C618" t="s">
        <v>18</v>
      </c>
      <c r="D618">
        <v>168.95</v>
      </c>
      <c r="F618" s="3">
        <v>44131</v>
      </c>
      <c r="G618" s="2" t="str">
        <f t="shared" si="27"/>
        <v>October</v>
      </c>
      <c r="H618" s="2" t="str">
        <f t="shared" si="28"/>
        <v>Week 5</v>
      </c>
      <c r="I618" s="2" t="str">
        <f t="shared" si="29"/>
        <v>Quarter 4</v>
      </c>
    </row>
    <row r="619" spans="1:9" x14ac:dyDescent="0.25">
      <c r="A619">
        <v>2000086658</v>
      </c>
      <c r="B619" t="s">
        <v>27</v>
      </c>
      <c r="C619" t="s">
        <v>9</v>
      </c>
      <c r="D619">
        <v>13.2</v>
      </c>
      <c r="F619" s="3">
        <v>44131</v>
      </c>
      <c r="G619" s="2" t="str">
        <f t="shared" si="27"/>
        <v>October</v>
      </c>
      <c r="H619" s="2" t="str">
        <f t="shared" si="28"/>
        <v>Week 5</v>
      </c>
      <c r="I619" s="2" t="str">
        <f t="shared" si="29"/>
        <v>Quarter 4</v>
      </c>
    </row>
    <row r="620" spans="1:9" x14ac:dyDescent="0.25">
      <c r="A620">
        <v>2000086313</v>
      </c>
      <c r="B620" t="s">
        <v>27</v>
      </c>
      <c r="C620" t="s">
        <v>12</v>
      </c>
      <c r="D620">
        <v>112.4</v>
      </c>
      <c r="F620" s="3">
        <v>44131</v>
      </c>
      <c r="G620" s="2" t="str">
        <f t="shared" si="27"/>
        <v>October</v>
      </c>
      <c r="H620" s="2" t="str">
        <f t="shared" si="28"/>
        <v>Week 5</v>
      </c>
      <c r="I620" s="2" t="str">
        <f t="shared" si="29"/>
        <v>Quarter 4</v>
      </c>
    </row>
    <row r="621" spans="1:9" x14ac:dyDescent="0.25">
      <c r="A621">
        <v>2000086313</v>
      </c>
      <c r="B621" t="s">
        <v>27</v>
      </c>
      <c r="C621" t="s">
        <v>12</v>
      </c>
      <c r="D621">
        <v>239.7</v>
      </c>
      <c r="F621" s="3">
        <v>44131</v>
      </c>
      <c r="G621" s="2" t="str">
        <f t="shared" si="27"/>
        <v>October</v>
      </c>
      <c r="H621" s="2" t="str">
        <f t="shared" si="28"/>
        <v>Week 5</v>
      </c>
      <c r="I621" s="2" t="str">
        <f t="shared" si="29"/>
        <v>Quarter 4</v>
      </c>
    </row>
    <row r="622" spans="1:9" x14ac:dyDescent="0.25">
      <c r="A622">
        <v>2000086313</v>
      </c>
      <c r="B622" t="s">
        <v>27</v>
      </c>
      <c r="C622" t="s">
        <v>12</v>
      </c>
      <c r="D622">
        <v>214.1</v>
      </c>
      <c r="F622" s="3">
        <v>44131</v>
      </c>
      <c r="G622" s="2" t="str">
        <f t="shared" si="27"/>
        <v>October</v>
      </c>
      <c r="H622" s="2" t="str">
        <f t="shared" si="28"/>
        <v>Week 5</v>
      </c>
      <c r="I622" s="2" t="str">
        <f t="shared" si="29"/>
        <v>Quarter 4</v>
      </c>
    </row>
    <row r="623" spans="1:9" x14ac:dyDescent="0.25">
      <c r="A623">
        <v>2000086597</v>
      </c>
      <c r="B623" t="s">
        <v>27</v>
      </c>
      <c r="C623" t="s">
        <v>9</v>
      </c>
      <c r="D623">
        <v>12.25</v>
      </c>
      <c r="F623" s="3">
        <v>44131</v>
      </c>
      <c r="G623" s="2" t="str">
        <f t="shared" si="27"/>
        <v>October</v>
      </c>
      <c r="H623" s="2" t="str">
        <f t="shared" si="28"/>
        <v>Week 5</v>
      </c>
      <c r="I623" s="2" t="str">
        <f t="shared" si="29"/>
        <v>Quarter 4</v>
      </c>
    </row>
    <row r="624" spans="1:9" x14ac:dyDescent="0.25">
      <c r="A624">
        <v>2000086399</v>
      </c>
      <c r="B624" t="s">
        <v>27</v>
      </c>
      <c r="C624" t="s">
        <v>12</v>
      </c>
      <c r="D624">
        <v>61.55</v>
      </c>
      <c r="F624" s="3">
        <v>44131</v>
      </c>
      <c r="G624" s="2" t="str">
        <f t="shared" si="27"/>
        <v>October</v>
      </c>
      <c r="H624" s="2" t="str">
        <f t="shared" si="28"/>
        <v>Week 5</v>
      </c>
      <c r="I624" s="2" t="str">
        <f t="shared" si="29"/>
        <v>Quarter 4</v>
      </c>
    </row>
    <row r="625" spans="1:9" x14ac:dyDescent="0.25">
      <c r="A625">
        <v>2000086268</v>
      </c>
      <c r="B625" t="s">
        <v>27</v>
      </c>
      <c r="C625" t="s">
        <v>18</v>
      </c>
      <c r="D625">
        <v>655</v>
      </c>
      <c r="F625" s="3">
        <v>44131</v>
      </c>
      <c r="G625" s="2" t="str">
        <f t="shared" si="27"/>
        <v>October</v>
      </c>
      <c r="H625" s="2" t="str">
        <f t="shared" si="28"/>
        <v>Week 5</v>
      </c>
      <c r="I625" s="2" t="str">
        <f t="shared" si="29"/>
        <v>Quarter 4</v>
      </c>
    </row>
    <row r="626" spans="1:9" x14ac:dyDescent="0.25">
      <c r="A626">
        <v>2000086499</v>
      </c>
      <c r="B626" t="s">
        <v>27</v>
      </c>
      <c r="C626" t="s">
        <v>21</v>
      </c>
      <c r="D626">
        <v>98.65</v>
      </c>
      <c r="F626" s="3">
        <v>44131</v>
      </c>
      <c r="G626" s="2" t="str">
        <f t="shared" si="27"/>
        <v>October</v>
      </c>
      <c r="H626" s="2" t="str">
        <f t="shared" si="28"/>
        <v>Week 5</v>
      </c>
      <c r="I626" s="2" t="str">
        <f t="shared" si="29"/>
        <v>Quarter 4</v>
      </c>
    </row>
    <row r="627" spans="1:9" x14ac:dyDescent="0.25">
      <c r="A627">
        <v>2000086403</v>
      </c>
      <c r="B627" t="s">
        <v>27</v>
      </c>
      <c r="C627" t="s">
        <v>12</v>
      </c>
      <c r="D627">
        <v>57.6</v>
      </c>
      <c r="F627" s="3">
        <v>44131</v>
      </c>
      <c r="G627" s="2" t="str">
        <f t="shared" si="27"/>
        <v>October</v>
      </c>
      <c r="H627" s="2" t="str">
        <f t="shared" si="28"/>
        <v>Week 5</v>
      </c>
      <c r="I627" s="2" t="str">
        <f t="shared" si="29"/>
        <v>Quarter 4</v>
      </c>
    </row>
    <row r="628" spans="1:9" x14ac:dyDescent="0.25">
      <c r="A628">
        <v>2000086323</v>
      </c>
      <c r="B628" t="s">
        <v>27</v>
      </c>
      <c r="C628" t="s">
        <v>12</v>
      </c>
      <c r="D628">
        <v>118.6</v>
      </c>
      <c r="F628" s="3">
        <v>44131</v>
      </c>
      <c r="G628" s="2" t="str">
        <f t="shared" si="27"/>
        <v>October</v>
      </c>
      <c r="H628" s="2" t="str">
        <f t="shared" si="28"/>
        <v>Week 5</v>
      </c>
      <c r="I628" s="2" t="str">
        <f t="shared" si="29"/>
        <v>Quarter 4</v>
      </c>
    </row>
    <row r="629" spans="1:9" x14ac:dyDescent="0.25">
      <c r="A629">
        <v>2000086599</v>
      </c>
      <c r="B629" t="s">
        <v>27</v>
      </c>
      <c r="C629" t="s">
        <v>9</v>
      </c>
      <c r="D629">
        <v>11.85</v>
      </c>
      <c r="F629" s="3">
        <v>44131</v>
      </c>
      <c r="G629" s="2" t="str">
        <f t="shared" si="27"/>
        <v>October</v>
      </c>
      <c r="H629" s="2" t="str">
        <f t="shared" si="28"/>
        <v>Week 5</v>
      </c>
      <c r="I629" s="2" t="str">
        <f t="shared" si="29"/>
        <v>Quarter 4</v>
      </c>
    </row>
    <row r="630" spans="1:9" x14ac:dyDescent="0.25">
      <c r="A630">
        <v>2000086281</v>
      </c>
      <c r="B630" t="s">
        <v>27</v>
      </c>
      <c r="C630" t="s">
        <v>18</v>
      </c>
      <c r="D630">
        <v>518</v>
      </c>
      <c r="F630" s="3">
        <v>44131</v>
      </c>
      <c r="G630" s="2" t="str">
        <f t="shared" si="27"/>
        <v>October</v>
      </c>
      <c r="H630" s="2" t="str">
        <f t="shared" si="28"/>
        <v>Week 5</v>
      </c>
      <c r="I630" s="2" t="str">
        <f t="shared" si="29"/>
        <v>Quarter 4</v>
      </c>
    </row>
    <row r="631" spans="1:9" x14ac:dyDescent="0.25">
      <c r="A631">
        <v>2000086601</v>
      </c>
      <c r="B631" t="s">
        <v>27</v>
      </c>
      <c r="C631" t="s">
        <v>9</v>
      </c>
      <c r="D631">
        <v>30.8</v>
      </c>
      <c r="F631" s="3">
        <v>44131</v>
      </c>
      <c r="G631" s="2" t="str">
        <f t="shared" si="27"/>
        <v>October</v>
      </c>
      <c r="H631" s="2" t="str">
        <f t="shared" si="28"/>
        <v>Week 5</v>
      </c>
      <c r="I631" s="2" t="str">
        <f t="shared" si="29"/>
        <v>Quarter 4</v>
      </c>
    </row>
    <row r="632" spans="1:9" x14ac:dyDescent="0.25">
      <c r="A632">
        <v>2000086385</v>
      </c>
      <c r="B632" t="s">
        <v>27</v>
      </c>
      <c r="C632" t="s">
        <v>12</v>
      </c>
      <c r="D632">
        <v>138.85</v>
      </c>
      <c r="F632" s="3">
        <v>44131</v>
      </c>
      <c r="G632" s="2" t="str">
        <f t="shared" si="27"/>
        <v>October</v>
      </c>
      <c r="H632" s="2" t="str">
        <f t="shared" si="28"/>
        <v>Week 5</v>
      </c>
      <c r="I632" s="2" t="str">
        <f t="shared" si="29"/>
        <v>Quarter 4</v>
      </c>
    </row>
    <row r="633" spans="1:9" x14ac:dyDescent="0.25">
      <c r="A633">
        <v>2000086514</v>
      </c>
      <c r="B633" t="s">
        <v>27</v>
      </c>
      <c r="C633" t="s">
        <v>22</v>
      </c>
      <c r="D633">
        <v>38.549999999999997</v>
      </c>
      <c r="F633" s="3">
        <v>44131</v>
      </c>
      <c r="G633" s="2" t="str">
        <f t="shared" si="27"/>
        <v>October</v>
      </c>
      <c r="H633" s="2" t="str">
        <f t="shared" si="28"/>
        <v>Week 5</v>
      </c>
      <c r="I633" s="2" t="str">
        <f t="shared" si="29"/>
        <v>Quarter 4</v>
      </c>
    </row>
    <row r="634" spans="1:9" x14ac:dyDescent="0.25">
      <c r="A634">
        <v>2000086498</v>
      </c>
      <c r="B634" t="s">
        <v>27</v>
      </c>
      <c r="C634" t="s">
        <v>22</v>
      </c>
      <c r="D634">
        <v>83.6</v>
      </c>
      <c r="F634" s="3">
        <v>44131</v>
      </c>
      <c r="G634" s="2" t="str">
        <f t="shared" si="27"/>
        <v>October</v>
      </c>
      <c r="H634" s="2" t="str">
        <f t="shared" si="28"/>
        <v>Week 5</v>
      </c>
      <c r="I634" s="2" t="str">
        <f t="shared" si="29"/>
        <v>Quarter 4</v>
      </c>
    </row>
    <row r="635" spans="1:9" x14ac:dyDescent="0.25">
      <c r="A635">
        <v>2000086354</v>
      </c>
      <c r="B635" t="s">
        <v>27</v>
      </c>
      <c r="C635" t="s">
        <v>18</v>
      </c>
      <c r="D635">
        <v>236.81</v>
      </c>
      <c r="F635" s="3">
        <v>44131</v>
      </c>
      <c r="G635" s="2" t="str">
        <f t="shared" si="27"/>
        <v>October</v>
      </c>
      <c r="H635" s="2" t="str">
        <f t="shared" si="28"/>
        <v>Week 5</v>
      </c>
      <c r="I635" s="2" t="str">
        <f t="shared" si="29"/>
        <v>Quarter 4</v>
      </c>
    </row>
    <row r="636" spans="1:9" x14ac:dyDescent="0.25">
      <c r="A636">
        <v>2000086603</v>
      </c>
      <c r="B636" t="s">
        <v>27</v>
      </c>
      <c r="C636" t="s">
        <v>9</v>
      </c>
      <c r="D636">
        <v>80.75</v>
      </c>
      <c r="F636" s="3">
        <v>44131</v>
      </c>
      <c r="G636" s="2" t="str">
        <f t="shared" si="27"/>
        <v>October</v>
      </c>
      <c r="H636" s="2" t="str">
        <f t="shared" si="28"/>
        <v>Week 5</v>
      </c>
      <c r="I636" s="2" t="str">
        <f t="shared" si="29"/>
        <v>Quarter 4</v>
      </c>
    </row>
    <row r="637" spans="1:9" x14ac:dyDescent="0.25">
      <c r="A637">
        <v>2000086591</v>
      </c>
      <c r="B637" t="s">
        <v>27</v>
      </c>
      <c r="C637" t="s">
        <v>22</v>
      </c>
      <c r="D637">
        <v>15.1</v>
      </c>
      <c r="F637" s="3">
        <v>44131</v>
      </c>
      <c r="G637" s="2" t="str">
        <f t="shared" si="27"/>
        <v>October</v>
      </c>
      <c r="H637" s="2" t="str">
        <f t="shared" si="28"/>
        <v>Week 5</v>
      </c>
      <c r="I637" s="2" t="str">
        <f t="shared" si="29"/>
        <v>Quarter 4</v>
      </c>
    </row>
    <row r="638" spans="1:9" x14ac:dyDescent="0.25">
      <c r="A638">
        <v>2000086605</v>
      </c>
      <c r="B638" t="s">
        <v>27</v>
      </c>
      <c r="C638" t="s">
        <v>9</v>
      </c>
      <c r="D638">
        <v>97.15</v>
      </c>
      <c r="F638" s="3">
        <v>44131</v>
      </c>
      <c r="G638" s="2" t="str">
        <f t="shared" si="27"/>
        <v>October</v>
      </c>
      <c r="H638" s="2" t="str">
        <f t="shared" si="28"/>
        <v>Week 5</v>
      </c>
      <c r="I638" s="2" t="str">
        <f t="shared" si="29"/>
        <v>Quarter 4</v>
      </c>
    </row>
    <row r="639" spans="1:9" x14ac:dyDescent="0.25">
      <c r="A639">
        <v>2000086251</v>
      </c>
      <c r="B639" t="s">
        <v>27</v>
      </c>
      <c r="C639" t="s">
        <v>18</v>
      </c>
      <c r="D639">
        <v>1608.6</v>
      </c>
      <c r="F639" s="3">
        <v>44131</v>
      </c>
      <c r="G639" s="2" t="str">
        <f t="shared" si="27"/>
        <v>October</v>
      </c>
      <c r="H639" s="2" t="str">
        <f t="shared" si="28"/>
        <v>Week 5</v>
      </c>
      <c r="I639" s="2" t="str">
        <f t="shared" si="29"/>
        <v>Quarter 4</v>
      </c>
    </row>
    <row r="640" spans="1:9" x14ac:dyDescent="0.25">
      <c r="A640">
        <v>2000086606</v>
      </c>
      <c r="B640" t="s">
        <v>27</v>
      </c>
      <c r="C640" t="s">
        <v>9</v>
      </c>
      <c r="D640">
        <v>18.600000000000001</v>
      </c>
      <c r="F640" s="3">
        <v>44131</v>
      </c>
      <c r="G640" s="2" t="str">
        <f t="shared" si="27"/>
        <v>October</v>
      </c>
      <c r="H640" s="2" t="str">
        <f t="shared" si="28"/>
        <v>Week 5</v>
      </c>
      <c r="I640" s="2" t="str">
        <f t="shared" si="29"/>
        <v>Quarter 4</v>
      </c>
    </row>
    <row r="641" spans="1:9" x14ac:dyDescent="0.25">
      <c r="A641">
        <v>2000086427</v>
      </c>
      <c r="B641" t="s">
        <v>27</v>
      </c>
      <c r="C641" t="s">
        <v>12</v>
      </c>
      <c r="D641">
        <v>43.5</v>
      </c>
      <c r="F641" s="3">
        <v>44131</v>
      </c>
      <c r="G641" s="2" t="str">
        <f t="shared" si="27"/>
        <v>October</v>
      </c>
      <c r="H641" s="2" t="str">
        <f t="shared" si="28"/>
        <v>Week 5</v>
      </c>
      <c r="I641" s="2" t="str">
        <f t="shared" si="29"/>
        <v>Quarter 4</v>
      </c>
    </row>
    <row r="642" spans="1:9" x14ac:dyDescent="0.25">
      <c r="A642">
        <v>2000086333</v>
      </c>
      <c r="B642" t="s">
        <v>27</v>
      </c>
      <c r="C642" t="s">
        <v>18</v>
      </c>
      <c r="D642">
        <v>299</v>
      </c>
      <c r="F642" s="3">
        <v>44131</v>
      </c>
      <c r="G642" s="2" t="str">
        <f t="shared" si="27"/>
        <v>October</v>
      </c>
      <c r="H642" s="2" t="str">
        <f t="shared" si="28"/>
        <v>Week 5</v>
      </c>
      <c r="I642" s="2" t="str">
        <f t="shared" si="29"/>
        <v>Quarter 4</v>
      </c>
    </row>
    <row r="643" spans="1:9" x14ac:dyDescent="0.25">
      <c r="A643">
        <v>2000086608</v>
      </c>
      <c r="B643" t="s">
        <v>27</v>
      </c>
      <c r="C643" t="s">
        <v>9</v>
      </c>
      <c r="D643">
        <v>82.1</v>
      </c>
      <c r="F643" s="3">
        <v>44131</v>
      </c>
      <c r="G643" s="2" t="str">
        <f t="shared" ref="G643:G706" si="30">TEXT(F643,"mmmm")</f>
        <v>October</v>
      </c>
      <c r="H643" s="2" t="str">
        <f t="shared" ref="H643:H706" si="31">"Week "&amp;((WEEKNUM(F643)-WEEKNUM(DATE(YEAR(F643),MONTH(F643),1))+1))</f>
        <v>Week 5</v>
      </c>
      <c r="I643" s="2" t="str">
        <f t="shared" ref="I643:I706" si="32">"Quarter " &amp; ROUNDUP((MONTH(F643))/3,0)</f>
        <v>Quarter 4</v>
      </c>
    </row>
    <row r="644" spans="1:9" x14ac:dyDescent="0.25">
      <c r="A644">
        <v>2000086609</v>
      </c>
      <c r="B644" t="s">
        <v>27</v>
      </c>
      <c r="C644" t="s">
        <v>9</v>
      </c>
      <c r="D644">
        <v>47.3</v>
      </c>
      <c r="F644" s="3">
        <v>44131</v>
      </c>
      <c r="G644" s="2" t="str">
        <f t="shared" si="30"/>
        <v>October</v>
      </c>
      <c r="H644" s="2" t="str">
        <f t="shared" si="31"/>
        <v>Week 5</v>
      </c>
      <c r="I644" s="2" t="str">
        <f t="shared" si="32"/>
        <v>Quarter 4</v>
      </c>
    </row>
    <row r="645" spans="1:9" x14ac:dyDescent="0.25">
      <c r="A645">
        <v>2000086611</v>
      </c>
      <c r="B645" t="s">
        <v>27</v>
      </c>
      <c r="C645" t="s">
        <v>9</v>
      </c>
      <c r="D645">
        <v>5.6</v>
      </c>
      <c r="F645" s="3">
        <v>44131</v>
      </c>
      <c r="G645" s="2" t="str">
        <f t="shared" si="30"/>
        <v>October</v>
      </c>
      <c r="H645" s="2" t="str">
        <f t="shared" si="31"/>
        <v>Week 5</v>
      </c>
      <c r="I645" s="2" t="str">
        <f t="shared" si="32"/>
        <v>Quarter 4</v>
      </c>
    </row>
    <row r="646" spans="1:9" x14ac:dyDescent="0.25">
      <c r="A646">
        <v>2000086246</v>
      </c>
      <c r="B646" t="s">
        <v>27</v>
      </c>
      <c r="C646" t="s">
        <v>18</v>
      </c>
      <c r="D646">
        <v>1952.9</v>
      </c>
      <c r="F646" s="3">
        <v>44131</v>
      </c>
      <c r="G646" s="2" t="str">
        <f t="shared" si="30"/>
        <v>October</v>
      </c>
      <c r="H646" s="2" t="str">
        <f t="shared" si="31"/>
        <v>Week 5</v>
      </c>
      <c r="I646" s="2" t="str">
        <f t="shared" si="32"/>
        <v>Quarter 4</v>
      </c>
    </row>
    <row r="647" spans="1:9" x14ac:dyDescent="0.25">
      <c r="A647">
        <v>2000086612</v>
      </c>
      <c r="B647" t="s">
        <v>27</v>
      </c>
      <c r="C647" t="s">
        <v>9</v>
      </c>
      <c r="D647">
        <v>48.75</v>
      </c>
      <c r="F647" s="3">
        <v>44131</v>
      </c>
      <c r="G647" s="2" t="str">
        <f t="shared" si="30"/>
        <v>October</v>
      </c>
      <c r="H647" s="2" t="str">
        <f t="shared" si="31"/>
        <v>Week 5</v>
      </c>
      <c r="I647" s="2" t="str">
        <f t="shared" si="32"/>
        <v>Quarter 4</v>
      </c>
    </row>
    <row r="648" spans="1:9" x14ac:dyDescent="0.25">
      <c r="A648">
        <v>2000086396</v>
      </c>
      <c r="B648" t="s">
        <v>27</v>
      </c>
      <c r="C648" t="s">
        <v>12</v>
      </c>
      <c r="D648">
        <v>63.6</v>
      </c>
      <c r="F648" s="3">
        <v>44131</v>
      </c>
      <c r="G648" s="2" t="str">
        <f t="shared" si="30"/>
        <v>October</v>
      </c>
      <c r="H648" s="2" t="str">
        <f t="shared" si="31"/>
        <v>Week 5</v>
      </c>
      <c r="I648" s="2" t="str">
        <f t="shared" si="32"/>
        <v>Quarter 4</v>
      </c>
    </row>
    <row r="649" spans="1:9" x14ac:dyDescent="0.25">
      <c r="A649">
        <v>2000086277</v>
      </c>
      <c r="B649" t="s">
        <v>27</v>
      </c>
      <c r="C649" t="s">
        <v>18</v>
      </c>
      <c r="D649">
        <v>553.5</v>
      </c>
      <c r="F649" s="3">
        <v>44131</v>
      </c>
      <c r="G649" s="2" t="str">
        <f t="shared" si="30"/>
        <v>October</v>
      </c>
      <c r="H649" s="2" t="str">
        <f t="shared" si="31"/>
        <v>Week 5</v>
      </c>
      <c r="I649" s="2" t="str">
        <f t="shared" si="32"/>
        <v>Quarter 4</v>
      </c>
    </row>
    <row r="650" spans="1:9" x14ac:dyDescent="0.25">
      <c r="A650">
        <v>2000086278</v>
      </c>
      <c r="B650" t="s">
        <v>27</v>
      </c>
      <c r="C650" t="s">
        <v>18</v>
      </c>
      <c r="D650">
        <v>544.35</v>
      </c>
      <c r="F650" s="3">
        <v>44131</v>
      </c>
      <c r="G650" s="2" t="str">
        <f t="shared" si="30"/>
        <v>October</v>
      </c>
      <c r="H650" s="2" t="str">
        <f t="shared" si="31"/>
        <v>Week 5</v>
      </c>
      <c r="I650" s="2" t="str">
        <f t="shared" si="32"/>
        <v>Quarter 4</v>
      </c>
    </row>
    <row r="651" spans="1:9" x14ac:dyDescent="0.25">
      <c r="A651">
        <v>2000086325</v>
      </c>
      <c r="B651" t="s">
        <v>27</v>
      </c>
      <c r="C651" t="s">
        <v>12</v>
      </c>
      <c r="D651">
        <v>125.9</v>
      </c>
      <c r="F651" s="3">
        <v>44131</v>
      </c>
      <c r="G651" s="2" t="str">
        <f t="shared" si="30"/>
        <v>October</v>
      </c>
      <c r="H651" s="2" t="str">
        <f t="shared" si="31"/>
        <v>Week 5</v>
      </c>
      <c r="I651" s="2" t="str">
        <f t="shared" si="32"/>
        <v>Quarter 4</v>
      </c>
    </row>
    <row r="652" spans="1:9" x14ac:dyDescent="0.25">
      <c r="A652">
        <v>2000086615</v>
      </c>
      <c r="B652" t="s">
        <v>27</v>
      </c>
      <c r="C652" t="s">
        <v>9</v>
      </c>
      <c r="D652">
        <v>18.149999999999999</v>
      </c>
      <c r="F652" s="3">
        <v>44131</v>
      </c>
      <c r="G652" s="2" t="str">
        <f t="shared" si="30"/>
        <v>October</v>
      </c>
      <c r="H652" s="2" t="str">
        <f t="shared" si="31"/>
        <v>Week 5</v>
      </c>
      <c r="I652" s="2" t="str">
        <f t="shared" si="32"/>
        <v>Quarter 4</v>
      </c>
    </row>
    <row r="653" spans="1:9" x14ac:dyDescent="0.25">
      <c r="A653">
        <v>2000086364</v>
      </c>
      <c r="B653" t="s">
        <v>27</v>
      </c>
      <c r="C653" t="s">
        <v>18</v>
      </c>
      <c r="D653">
        <v>140.80000000000001</v>
      </c>
      <c r="F653" s="3">
        <v>44131</v>
      </c>
      <c r="G653" s="2" t="str">
        <f t="shared" si="30"/>
        <v>October</v>
      </c>
      <c r="H653" s="2" t="str">
        <f t="shared" si="31"/>
        <v>Week 5</v>
      </c>
      <c r="I653" s="2" t="str">
        <f t="shared" si="32"/>
        <v>Quarter 4</v>
      </c>
    </row>
    <row r="654" spans="1:9" x14ac:dyDescent="0.25">
      <c r="A654">
        <v>2000086365</v>
      </c>
      <c r="B654" t="s">
        <v>27</v>
      </c>
      <c r="C654" t="s">
        <v>18</v>
      </c>
      <c r="D654">
        <v>203</v>
      </c>
      <c r="F654" s="3">
        <v>44131</v>
      </c>
      <c r="G654" s="2" t="str">
        <f t="shared" si="30"/>
        <v>October</v>
      </c>
      <c r="H654" s="2" t="str">
        <f t="shared" si="31"/>
        <v>Week 5</v>
      </c>
      <c r="I654" s="2" t="str">
        <f t="shared" si="32"/>
        <v>Quarter 4</v>
      </c>
    </row>
    <row r="655" spans="1:9" x14ac:dyDescent="0.25">
      <c r="A655">
        <v>2000086616</v>
      </c>
      <c r="B655" t="s">
        <v>27</v>
      </c>
      <c r="C655" t="s">
        <v>9</v>
      </c>
      <c r="D655">
        <v>18.600000000000001</v>
      </c>
      <c r="F655" s="3">
        <v>44131</v>
      </c>
      <c r="G655" s="2" t="str">
        <f t="shared" si="30"/>
        <v>October</v>
      </c>
      <c r="H655" s="2" t="str">
        <f t="shared" si="31"/>
        <v>Week 5</v>
      </c>
      <c r="I655" s="2" t="str">
        <f t="shared" si="32"/>
        <v>Quarter 4</v>
      </c>
    </row>
    <row r="656" spans="1:9" x14ac:dyDescent="0.25">
      <c r="A656">
        <v>2000086616</v>
      </c>
      <c r="B656" t="s">
        <v>27</v>
      </c>
      <c r="C656" t="s">
        <v>9</v>
      </c>
      <c r="D656">
        <v>28.95</v>
      </c>
      <c r="F656" s="3">
        <v>44131</v>
      </c>
      <c r="G656" s="2" t="str">
        <f t="shared" si="30"/>
        <v>October</v>
      </c>
      <c r="H656" s="2" t="str">
        <f t="shared" si="31"/>
        <v>Week 5</v>
      </c>
      <c r="I656" s="2" t="str">
        <f t="shared" si="32"/>
        <v>Quarter 4</v>
      </c>
    </row>
    <row r="657" spans="1:9" x14ac:dyDescent="0.25">
      <c r="A657">
        <v>2000086381</v>
      </c>
      <c r="B657" t="s">
        <v>27</v>
      </c>
      <c r="C657" t="s">
        <v>18</v>
      </c>
      <c r="D657">
        <v>143.19999999999999</v>
      </c>
      <c r="F657" s="3">
        <v>44131</v>
      </c>
      <c r="G657" s="2" t="str">
        <f t="shared" si="30"/>
        <v>October</v>
      </c>
      <c r="H657" s="2" t="str">
        <f t="shared" si="31"/>
        <v>Week 5</v>
      </c>
      <c r="I657" s="2" t="str">
        <f t="shared" si="32"/>
        <v>Quarter 4</v>
      </c>
    </row>
    <row r="658" spans="1:9" x14ac:dyDescent="0.25">
      <c r="A658">
        <v>2000086617</v>
      </c>
      <c r="B658" t="s">
        <v>27</v>
      </c>
      <c r="C658" t="s">
        <v>9</v>
      </c>
      <c r="D658">
        <v>51.9</v>
      </c>
      <c r="F658" s="3">
        <v>44131</v>
      </c>
      <c r="G658" s="2" t="str">
        <f t="shared" si="30"/>
        <v>October</v>
      </c>
      <c r="H658" s="2" t="str">
        <f t="shared" si="31"/>
        <v>Week 5</v>
      </c>
      <c r="I658" s="2" t="str">
        <f t="shared" si="32"/>
        <v>Quarter 4</v>
      </c>
    </row>
    <row r="659" spans="1:9" x14ac:dyDescent="0.25">
      <c r="A659">
        <v>2000086300</v>
      </c>
      <c r="B659" t="s">
        <v>27</v>
      </c>
      <c r="C659" t="s">
        <v>18</v>
      </c>
      <c r="D659">
        <v>383.85</v>
      </c>
      <c r="F659" s="3">
        <v>44131</v>
      </c>
      <c r="G659" s="2" t="str">
        <f t="shared" si="30"/>
        <v>October</v>
      </c>
      <c r="H659" s="2" t="str">
        <f t="shared" si="31"/>
        <v>Week 5</v>
      </c>
      <c r="I659" s="2" t="str">
        <f t="shared" si="32"/>
        <v>Quarter 4</v>
      </c>
    </row>
    <row r="660" spans="1:9" x14ac:dyDescent="0.25">
      <c r="A660">
        <v>2000086233</v>
      </c>
      <c r="B660" t="s">
        <v>27</v>
      </c>
      <c r="C660" t="s">
        <v>18</v>
      </c>
      <c r="D660">
        <v>6879.9</v>
      </c>
      <c r="F660" s="3">
        <v>44131</v>
      </c>
      <c r="G660" s="2" t="str">
        <f t="shared" si="30"/>
        <v>October</v>
      </c>
      <c r="H660" s="2" t="str">
        <f t="shared" si="31"/>
        <v>Week 5</v>
      </c>
      <c r="I660" s="2" t="str">
        <f t="shared" si="32"/>
        <v>Quarter 4</v>
      </c>
    </row>
    <row r="661" spans="1:9" x14ac:dyDescent="0.25">
      <c r="A661">
        <v>2000086260</v>
      </c>
      <c r="B661" t="s">
        <v>27</v>
      </c>
      <c r="C661" t="s">
        <v>18</v>
      </c>
      <c r="D661">
        <v>963.69</v>
      </c>
      <c r="F661" s="3">
        <v>44131</v>
      </c>
      <c r="G661" s="2" t="str">
        <f t="shared" si="30"/>
        <v>October</v>
      </c>
      <c r="H661" s="2" t="str">
        <f t="shared" si="31"/>
        <v>Week 5</v>
      </c>
      <c r="I661" s="2" t="str">
        <f t="shared" si="32"/>
        <v>Quarter 4</v>
      </c>
    </row>
    <row r="662" spans="1:9" x14ac:dyDescent="0.25">
      <c r="A662">
        <v>2000086453</v>
      </c>
      <c r="B662" t="s">
        <v>27</v>
      </c>
      <c r="C662" t="s">
        <v>21</v>
      </c>
      <c r="D662">
        <v>30.2</v>
      </c>
      <c r="F662" s="3">
        <v>44131</v>
      </c>
      <c r="G662" s="2" t="str">
        <f t="shared" si="30"/>
        <v>October</v>
      </c>
      <c r="H662" s="2" t="str">
        <f t="shared" si="31"/>
        <v>Week 5</v>
      </c>
      <c r="I662" s="2" t="str">
        <f t="shared" si="32"/>
        <v>Quarter 4</v>
      </c>
    </row>
    <row r="663" spans="1:9" x14ac:dyDescent="0.25">
      <c r="A663">
        <v>2000086469</v>
      </c>
      <c r="B663" t="s">
        <v>27</v>
      </c>
      <c r="C663" t="s">
        <v>12</v>
      </c>
      <c r="D663">
        <v>73.400000000000006</v>
      </c>
      <c r="F663" s="3">
        <v>44131</v>
      </c>
      <c r="G663" s="2" t="str">
        <f t="shared" si="30"/>
        <v>October</v>
      </c>
      <c r="H663" s="2" t="str">
        <f t="shared" si="31"/>
        <v>Week 5</v>
      </c>
      <c r="I663" s="2" t="str">
        <f t="shared" si="32"/>
        <v>Quarter 4</v>
      </c>
    </row>
    <row r="664" spans="1:9" x14ac:dyDescent="0.25">
      <c r="A664">
        <v>2000086491</v>
      </c>
      <c r="B664" t="s">
        <v>27</v>
      </c>
      <c r="C664" t="s">
        <v>12</v>
      </c>
      <c r="D664">
        <v>68.75</v>
      </c>
      <c r="F664" s="3">
        <v>44131</v>
      </c>
      <c r="G664" s="2" t="str">
        <f t="shared" si="30"/>
        <v>October</v>
      </c>
      <c r="H664" s="2" t="str">
        <f t="shared" si="31"/>
        <v>Week 5</v>
      </c>
      <c r="I664" s="2" t="str">
        <f t="shared" si="32"/>
        <v>Quarter 4</v>
      </c>
    </row>
    <row r="665" spans="1:9" x14ac:dyDescent="0.25">
      <c r="A665">
        <v>2000086289</v>
      </c>
      <c r="B665" t="s">
        <v>27</v>
      </c>
      <c r="C665" t="s">
        <v>18</v>
      </c>
      <c r="D665">
        <v>462.05</v>
      </c>
      <c r="F665" s="3">
        <v>44131</v>
      </c>
      <c r="G665" s="2" t="str">
        <f t="shared" si="30"/>
        <v>October</v>
      </c>
      <c r="H665" s="2" t="str">
        <f t="shared" si="31"/>
        <v>Week 5</v>
      </c>
      <c r="I665" s="2" t="str">
        <f t="shared" si="32"/>
        <v>Quarter 4</v>
      </c>
    </row>
    <row r="666" spans="1:9" x14ac:dyDescent="0.25">
      <c r="A666">
        <v>2000086326</v>
      </c>
      <c r="B666" t="s">
        <v>27</v>
      </c>
      <c r="C666" t="s">
        <v>18</v>
      </c>
      <c r="D666">
        <v>312.57</v>
      </c>
      <c r="F666" s="3">
        <v>44131</v>
      </c>
      <c r="G666" s="2" t="str">
        <f t="shared" si="30"/>
        <v>October</v>
      </c>
      <c r="H666" s="2" t="str">
        <f t="shared" si="31"/>
        <v>Week 5</v>
      </c>
      <c r="I666" s="2" t="str">
        <f t="shared" si="32"/>
        <v>Quarter 4</v>
      </c>
    </row>
    <row r="667" spans="1:9" x14ac:dyDescent="0.25">
      <c r="A667">
        <v>2000086327</v>
      </c>
      <c r="B667" t="s">
        <v>27</v>
      </c>
      <c r="C667" t="s">
        <v>18</v>
      </c>
      <c r="D667">
        <v>150.55000000000001</v>
      </c>
      <c r="F667" s="3">
        <v>44131</v>
      </c>
      <c r="G667" s="2" t="str">
        <f t="shared" si="30"/>
        <v>October</v>
      </c>
      <c r="H667" s="2" t="str">
        <f t="shared" si="31"/>
        <v>Week 5</v>
      </c>
      <c r="I667" s="2" t="str">
        <f t="shared" si="32"/>
        <v>Quarter 4</v>
      </c>
    </row>
    <row r="668" spans="1:9" x14ac:dyDescent="0.25">
      <c r="A668">
        <v>2000086328</v>
      </c>
      <c r="B668" t="s">
        <v>27</v>
      </c>
      <c r="C668" t="s">
        <v>18</v>
      </c>
      <c r="D668">
        <v>320.35000000000002</v>
      </c>
      <c r="F668" s="3">
        <v>44131</v>
      </c>
      <c r="G668" s="2" t="str">
        <f t="shared" si="30"/>
        <v>October</v>
      </c>
      <c r="H668" s="2" t="str">
        <f t="shared" si="31"/>
        <v>Week 5</v>
      </c>
      <c r="I668" s="2" t="str">
        <f t="shared" si="32"/>
        <v>Quarter 4</v>
      </c>
    </row>
    <row r="669" spans="1:9" x14ac:dyDescent="0.25">
      <c r="A669">
        <v>2000086618</v>
      </c>
      <c r="B669" t="s">
        <v>27</v>
      </c>
      <c r="C669" t="s">
        <v>9</v>
      </c>
      <c r="D669">
        <v>47.83</v>
      </c>
      <c r="F669" s="3">
        <v>44131</v>
      </c>
      <c r="G669" s="2" t="str">
        <f t="shared" si="30"/>
        <v>October</v>
      </c>
      <c r="H669" s="2" t="str">
        <f t="shared" si="31"/>
        <v>Week 5</v>
      </c>
      <c r="I669" s="2" t="str">
        <f t="shared" si="32"/>
        <v>Quarter 4</v>
      </c>
    </row>
    <row r="670" spans="1:9" x14ac:dyDescent="0.25">
      <c r="A670">
        <v>2000086235</v>
      </c>
      <c r="B670" t="s">
        <v>27</v>
      </c>
      <c r="C670" t="s">
        <v>18</v>
      </c>
      <c r="D670">
        <v>6491.05</v>
      </c>
      <c r="F670" s="3">
        <v>44131</v>
      </c>
      <c r="G670" s="2" t="str">
        <f t="shared" si="30"/>
        <v>October</v>
      </c>
      <c r="H670" s="2" t="str">
        <f t="shared" si="31"/>
        <v>Week 5</v>
      </c>
      <c r="I670" s="2" t="str">
        <f t="shared" si="32"/>
        <v>Quarter 4</v>
      </c>
    </row>
    <row r="671" spans="1:9" x14ac:dyDescent="0.25">
      <c r="A671">
        <v>2000086386</v>
      </c>
      <c r="B671" t="s">
        <v>27</v>
      </c>
      <c r="C671" t="s">
        <v>12</v>
      </c>
      <c r="D671">
        <v>140.35</v>
      </c>
      <c r="F671" s="3">
        <v>44131</v>
      </c>
      <c r="G671" s="2" t="str">
        <f t="shared" si="30"/>
        <v>October</v>
      </c>
      <c r="H671" s="2" t="str">
        <f t="shared" si="31"/>
        <v>Week 5</v>
      </c>
      <c r="I671" s="2" t="str">
        <f t="shared" si="32"/>
        <v>Quarter 4</v>
      </c>
    </row>
    <row r="672" spans="1:9" x14ac:dyDescent="0.25">
      <c r="A672">
        <v>2000086254</v>
      </c>
      <c r="B672" t="s">
        <v>27</v>
      </c>
      <c r="C672" t="s">
        <v>18</v>
      </c>
      <c r="D672">
        <v>1463.8</v>
      </c>
      <c r="F672" s="3">
        <v>44131</v>
      </c>
      <c r="G672" s="2" t="str">
        <f t="shared" si="30"/>
        <v>October</v>
      </c>
      <c r="H672" s="2" t="str">
        <f t="shared" si="31"/>
        <v>Week 5</v>
      </c>
      <c r="I672" s="2" t="str">
        <f t="shared" si="32"/>
        <v>Quarter 4</v>
      </c>
    </row>
    <row r="673" spans="1:9" x14ac:dyDescent="0.25">
      <c r="A673">
        <v>2000086619</v>
      </c>
      <c r="B673" t="s">
        <v>27</v>
      </c>
      <c r="C673" t="s">
        <v>9</v>
      </c>
      <c r="D673">
        <v>50.95</v>
      </c>
      <c r="F673" s="3">
        <v>44131</v>
      </c>
      <c r="G673" s="2" t="str">
        <f t="shared" si="30"/>
        <v>October</v>
      </c>
      <c r="H673" s="2" t="str">
        <f t="shared" si="31"/>
        <v>Week 5</v>
      </c>
      <c r="I673" s="2" t="str">
        <f t="shared" si="32"/>
        <v>Quarter 4</v>
      </c>
    </row>
    <row r="674" spans="1:9" x14ac:dyDescent="0.25">
      <c r="A674">
        <v>2000086275</v>
      </c>
      <c r="B674" t="s">
        <v>27</v>
      </c>
      <c r="C674" t="s">
        <v>18</v>
      </c>
      <c r="D674">
        <v>604.20000000000005</v>
      </c>
      <c r="F674" s="3">
        <v>44131</v>
      </c>
      <c r="G674" s="2" t="str">
        <f t="shared" si="30"/>
        <v>October</v>
      </c>
      <c r="H674" s="2" t="str">
        <f t="shared" si="31"/>
        <v>Week 5</v>
      </c>
      <c r="I674" s="2" t="str">
        <f t="shared" si="32"/>
        <v>Quarter 4</v>
      </c>
    </row>
    <row r="675" spans="1:9" x14ac:dyDescent="0.25">
      <c r="A675">
        <v>2000086332</v>
      </c>
      <c r="B675" t="s">
        <v>27</v>
      </c>
      <c r="C675" t="s">
        <v>18</v>
      </c>
      <c r="D675">
        <v>302</v>
      </c>
      <c r="F675" s="3">
        <v>44131</v>
      </c>
      <c r="G675" s="2" t="str">
        <f t="shared" si="30"/>
        <v>October</v>
      </c>
      <c r="H675" s="2" t="str">
        <f t="shared" si="31"/>
        <v>Week 5</v>
      </c>
      <c r="I675" s="2" t="str">
        <f t="shared" si="32"/>
        <v>Quarter 4</v>
      </c>
    </row>
    <row r="676" spans="1:9" x14ac:dyDescent="0.25">
      <c r="A676">
        <v>2000086393</v>
      </c>
      <c r="B676" t="s">
        <v>27</v>
      </c>
      <c r="C676" t="s">
        <v>12</v>
      </c>
      <c r="D676">
        <v>71.900000000000006</v>
      </c>
      <c r="F676" s="3">
        <v>44131</v>
      </c>
      <c r="G676" s="2" t="str">
        <f t="shared" si="30"/>
        <v>October</v>
      </c>
      <c r="H676" s="2" t="str">
        <f t="shared" si="31"/>
        <v>Week 5</v>
      </c>
      <c r="I676" s="2" t="str">
        <f t="shared" si="32"/>
        <v>Quarter 4</v>
      </c>
    </row>
    <row r="677" spans="1:9" x14ac:dyDescent="0.25">
      <c r="A677">
        <v>2000086394</v>
      </c>
      <c r="B677" t="s">
        <v>27</v>
      </c>
      <c r="C677" t="s">
        <v>12</v>
      </c>
      <c r="D677">
        <v>70.2</v>
      </c>
      <c r="F677" s="3">
        <v>44131</v>
      </c>
      <c r="G677" s="2" t="str">
        <f t="shared" si="30"/>
        <v>October</v>
      </c>
      <c r="H677" s="2" t="str">
        <f t="shared" si="31"/>
        <v>Week 5</v>
      </c>
      <c r="I677" s="2" t="str">
        <f t="shared" si="32"/>
        <v>Quarter 4</v>
      </c>
    </row>
    <row r="678" spans="1:9" x14ac:dyDescent="0.25">
      <c r="A678">
        <v>2000086620</v>
      </c>
      <c r="B678" t="s">
        <v>27</v>
      </c>
      <c r="C678" t="s">
        <v>9</v>
      </c>
      <c r="D678">
        <v>7.55</v>
      </c>
      <c r="F678" s="3">
        <v>44131</v>
      </c>
      <c r="G678" s="2" t="str">
        <f t="shared" si="30"/>
        <v>October</v>
      </c>
      <c r="H678" s="2" t="str">
        <f t="shared" si="31"/>
        <v>Week 5</v>
      </c>
      <c r="I678" s="2" t="str">
        <f t="shared" si="32"/>
        <v>Quarter 4</v>
      </c>
    </row>
    <row r="679" spans="1:9" x14ac:dyDescent="0.25">
      <c r="A679">
        <v>2000086271</v>
      </c>
      <c r="B679" t="s">
        <v>27</v>
      </c>
      <c r="C679" t="s">
        <v>18</v>
      </c>
      <c r="D679">
        <v>608.6</v>
      </c>
      <c r="F679" s="3">
        <v>44131</v>
      </c>
      <c r="G679" s="2" t="str">
        <f t="shared" si="30"/>
        <v>October</v>
      </c>
      <c r="H679" s="2" t="str">
        <f t="shared" si="31"/>
        <v>Week 5</v>
      </c>
      <c r="I679" s="2" t="str">
        <f t="shared" si="32"/>
        <v>Quarter 4</v>
      </c>
    </row>
    <row r="680" spans="1:9" x14ac:dyDescent="0.25">
      <c r="A680">
        <v>2000086276</v>
      </c>
      <c r="B680" t="s">
        <v>27</v>
      </c>
      <c r="C680" t="s">
        <v>18</v>
      </c>
      <c r="D680">
        <v>585.45000000000005</v>
      </c>
      <c r="F680" s="3">
        <v>44131</v>
      </c>
      <c r="G680" s="2" t="str">
        <f t="shared" si="30"/>
        <v>October</v>
      </c>
      <c r="H680" s="2" t="str">
        <f t="shared" si="31"/>
        <v>Week 5</v>
      </c>
      <c r="I680" s="2" t="str">
        <f t="shared" si="32"/>
        <v>Quarter 4</v>
      </c>
    </row>
    <row r="681" spans="1:9" x14ac:dyDescent="0.25">
      <c r="A681">
        <v>2000086315</v>
      </c>
      <c r="B681" t="s">
        <v>27</v>
      </c>
      <c r="C681" t="s">
        <v>18</v>
      </c>
      <c r="D681">
        <v>345.3</v>
      </c>
      <c r="F681" s="3">
        <v>44131</v>
      </c>
      <c r="G681" s="2" t="str">
        <f t="shared" si="30"/>
        <v>October</v>
      </c>
      <c r="H681" s="2" t="str">
        <f t="shared" si="31"/>
        <v>Week 5</v>
      </c>
      <c r="I681" s="2" t="str">
        <f t="shared" si="32"/>
        <v>Quarter 4</v>
      </c>
    </row>
    <row r="682" spans="1:9" x14ac:dyDescent="0.25">
      <c r="A682">
        <v>2000086361</v>
      </c>
      <c r="B682" t="s">
        <v>27</v>
      </c>
      <c r="C682" t="s">
        <v>12</v>
      </c>
      <c r="D682">
        <v>137.85</v>
      </c>
      <c r="F682" s="3">
        <v>44131</v>
      </c>
      <c r="G682" s="2" t="str">
        <f t="shared" si="30"/>
        <v>October</v>
      </c>
      <c r="H682" s="2" t="str">
        <f t="shared" si="31"/>
        <v>Week 5</v>
      </c>
      <c r="I682" s="2" t="str">
        <f t="shared" si="32"/>
        <v>Quarter 4</v>
      </c>
    </row>
    <row r="683" spans="1:9" x14ac:dyDescent="0.25">
      <c r="A683">
        <v>2000086497</v>
      </c>
      <c r="B683" t="s">
        <v>27</v>
      </c>
      <c r="C683" t="s">
        <v>21</v>
      </c>
      <c r="D683">
        <v>7.55</v>
      </c>
      <c r="F683" s="3">
        <v>44131</v>
      </c>
      <c r="G683" s="2" t="str">
        <f t="shared" si="30"/>
        <v>October</v>
      </c>
      <c r="H683" s="2" t="str">
        <f t="shared" si="31"/>
        <v>Week 5</v>
      </c>
      <c r="I683" s="2" t="str">
        <f t="shared" si="32"/>
        <v>Quarter 4</v>
      </c>
    </row>
    <row r="684" spans="1:9" x14ac:dyDescent="0.25">
      <c r="A684">
        <v>2000086250</v>
      </c>
      <c r="B684" t="s">
        <v>27</v>
      </c>
      <c r="C684" t="s">
        <v>18</v>
      </c>
      <c r="D684">
        <v>1766.5</v>
      </c>
      <c r="F684" s="3">
        <v>44131</v>
      </c>
      <c r="G684" s="2" t="str">
        <f t="shared" si="30"/>
        <v>October</v>
      </c>
      <c r="H684" s="2" t="str">
        <f t="shared" si="31"/>
        <v>Week 5</v>
      </c>
      <c r="I684" s="2" t="str">
        <f t="shared" si="32"/>
        <v>Quarter 4</v>
      </c>
    </row>
    <row r="685" spans="1:9" x14ac:dyDescent="0.25">
      <c r="A685">
        <v>2000086621</v>
      </c>
      <c r="B685" t="s">
        <v>27</v>
      </c>
      <c r="C685" t="s">
        <v>9</v>
      </c>
      <c r="D685">
        <v>15.35</v>
      </c>
      <c r="F685" s="3">
        <v>44131</v>
      </c>
      <c r="G685" s="2" t="str">
        <f t="shared" si="30"/>
        <v>October</v>
      </c>
      <c r="H685" s="2" t="str">
        <f t="shared" si="31"/>
        <v>Week 5</v>
      </c>
      <c r="I685" s="2" t="str">
        <f t="shared" si="32"/>
        <v>Quarter 4</v>
      </c>
    </row>
    <row r="686" spans="1:9" x14ac:dyDescent="0.25">
      <c r="A686">
        <v>2000086336</v>
      </c>
      <c r="B686" t="s">
        <v>27</v>
      </c>
      <c r="C686" t="s">
        <v>18</v>
      </c>
      <c r="D686">
        <v>287.55</v>
      </c>
      <c r="F686" s="3">
        <v>44131</v>
      </c>
      <c r="G686" s="2" t="str">
        <f t="shared" si="30"/>
        <v>October</v>
      </c>
      <c r="H686" s="2" t="str">
        <f t="shared" si="31"/>
        <v>Week 5</v>
      </c>
      <c r="I686" s="2" t="str">
        <f t="shared" si="32"/>
        <v>Quarter 4</v>
      </c>
    </row>
    <row r="687" spans="1:9" x14ac:dyDescent="0.25">
      <c r="A687">
        <v>2000086266</v>
      </c>
      <c r="B687" t="s">
        <v>27</v>
      </c>
      <c r="C687" t="s">
        <v>18</v>
      </c>
      <c r="D687">
        <v>74.599999999999994</v>
      </c>
      <c r="F687" s="3">
        <v>44131</v>
      </c>
      <c r="G687" s="2" t="str">
        <f t="shared" si="30"/>
        <v>October</v>
      </c>
      <c r="H687" s="2" t="str">
        <f t="shared" si="31"/>
        <v>Week 5</v>
      </c>
      <c r="I687" s="2" t="str">
        <f t="shared" si="32"/>
        <v>Quarter 4</v>
      </c>
    </row>
    <row r="688" spans="1:9" x14ac:dyDescent="0.25">
      <c r="A688">
        <v>2000086266</v>
      </c>
      <c r="B688" t="s">
        <v>27</v>
      </c>
      <c r="C688" t="s">
        <v>18</v>
      </c>
      <c r="D688">
        <v>672.3</v>
      </c>
      <c r="F688" s="3">
        <v>44131</v>
      </c>
      <c r="G688" s="2" t="str">
        <f t="shared" si="30"/>
        <v>October</v>
      </c>
      <c r="H688" s="2" t="str">
        <f t="shared" si="31"/>
        <v>Week 5</v>
      </c>
      <c r="I688" s="2" t="str">
        <f t="shared" si="32"/>
        <v>Quarter 4</v>
      </c>
    </row>
    <row r="689" spans="1:9" x14ac:dyDescent="0.25">
      <c r="A689">
        <v>2000086622</v>
      </c>
      <c r="B689" t="s">
        <v>27</v>
      </c>
      <c r="C689" t="s">
        <v>9</v>
      </c>
      <c r="D689">
        <v>20.9</v>
      </c>
      <c r="F689" s="3">
        <v>44131</v>
      </c>
      <c r="G689" s="2" t="str">
        <f t="shared" si="30"/>
        <v>October</v>
      </c>
      <c r="H689" s="2" t="str">
        <f t="shared" si="31"/>
        <v>Week 5</v>
      </c>
      <c r="I689" s="2" t="str">
        <f t="shared" si="32"/>
        <v>Quarter 4</v>
      </c>
    </row>
    <row r="690" spans="1:9" x14ac:dyDescent="0.25">
      <c r="A690">
        <v>2000086247</v>
      </c>
      <c r="B690" t="s">
        <v>27</v>
      </c>
      <c r="C690" t="s">
        <v>18</v>
      </c>
      <c r="D690">
        <v>1894.8</v>
      </c>
      <c r="F690" s="3">
        <v>44131</v>
      </c>
      <c r="G690" s="2" t="str">
        <f t="shared" si="30"/>
        <v>October</v>
      </c>
      <c r="H690" s="2" t="str">
        <f t="shared" si="31"/>
        <v>Week 5</v>
      </c>
      <c r="I690" s="2" t="str">
        <f t="shared" si="32"/>
        <v>Quarter 4</v>
      </c>
    </row>
    <row r="691" spans="1:9" x14ac:dyDescent="0.25">
      <c r="A691">
        <v>2000086237</v>
      </c>
      <c r="B691" t="s">
        <v>27</v>
      </c>
      <c r="C691" t="s">
        <v>18</v>
      </c>
      <c r="D691">
        <v>6376.2</v>
      </c>
      <c r="F691" s="3">
        <v>44131</v>
      </c>
      <c r="G691" s="2" t="str">
        <f t="shared" si="30"/>
        <v>October</v>
      </c>
      <c r="H691" s="2" t="str">
        <f t="shared" si="31"/>
        <v>Week 5</v>
      </c>
      <c r="I691" s="2" t="str">
        <f t="shared" si="32"/>
        <v>Quarter 4</v>
      </c>
    </row>
    <row r="692" spans="1:9" x14ac:dyDescent="0.25">
      <c r="A692">
        <v>2000086623</v>
      </c>
      <c r="B692" t="s">
        <v>27</v>
      </c>
      <c r="C692" t="s">
        <v>9</v>
      </c>
      <c r="D692">
        <v>28.85</v>
      </c>
      <c r="F692" s="3">
        <v>44131</v>
      </c>
      <c r="G692" s="2" t="str">
        <f t="shared" si="30"/>
        <v>October</v>
      </c>
      <c r="H692" s="2" t="str">
        <f t="shared" si="31"/>
        <v>Week 5</v>
      </c>
      <c r="I692" s="2" t="str">
        <f t="shared" si="32"/>
        <v>Quarter 4</v>
      </c>
    </row>
    <row r="693" spans="1:9" x14ac:dyDescent="0.25">
      <c r="A693">
        <v>2000086317</v>
      </c>
      <c r="B693" t="s">
        <v>27</v>
      </c>
      <c r="C693" t="s">
        <v>12</v>
      </c>
      <c r="D693">
        <v>113.5</v>
      </c>
      <c r="F693" s="3">
        <v>44131</v>
      </c>
      <c r="G693" s="2" t="str">
        <f t="shared" si="30"/>
        <v>October</v>
      </c>
      <c r="H693" s="2" t="str">
        <f t="shared" si="31"/>
        <v>Week 5</v>
      </c>
      <c r="I693" s="2" t="str">
        <f t="shared" si="32"/>
        <v>Quarter 4</v>
      </c>
    </row>
    <row r="694" spans="1:9" x14ac:dyDescent="0.25">
      <c r="A694">
        <v>2000086253</v>
      </c>
      <c r="B694" t="s">
        <v>27</v>
      </c>
      <c r="C694" t="s">
        <v>18</v>
      </c>
      <c r="D694">
        <v>1477.14</v>
      </c>
      <c r="F694" s="3">
        <v>44131</v>
      </c>
      <c r="G694" s="2" t="str">
        <f t="shared" si="30"/>
        <v>October</v>
      </c>
      <c r="H694" s="2" t="str">
        <f t="shared" si="31"/>
        <v>Week 5</v>
      </c>
      <c r="I694" s="2" t="str">
        <f t="shared" si="32"/>
        <v>Quarter 4</v>
      </c>
    </row>
    <row r="695" spans="1:9" x14ac:dyDescent="0.25">
      <c r="A695">
        <v>2000086261</v>
      </c>
      <c r="B695" t="s">
        <v>27</v>
      </c>
      <c r="C695" t="s">
        <v>18</v>
      </c>
      <c r="D695">
        <v>825.87</v>
      </c>
      <c r="F695" s="3">
        <v>44131</v>
      </c>
      <c r="G695" s="2" t="str">
        <f t="shared" si="30"/>
        <v>October</v>
      </c>
      <c r="H695" s="2" t="str">
        <f t="shared" si="31"/>
        <v>Week 5</v>
      </c>
      <c r="I695" s="2" t="str">
        <f t="shared" si="32"/>
        <v>Quarter 4</v>
      </c>
    </row>
    <row r="696" spans="1:9" x14ac:dyDescent="0.25">
      <c r="A696">
        <v>2000086335</v>
      </c>
      <c r="B696" t="s">
        <v>27</v>
      </c>
      <c r="C696" t="s">
        <v>18</v>
      </c>
      <c r="D696">
        <v>297.89999999999998</v>
      </c>
      <c r="F696" s="3">
        <v>44131</v>
      </c>
      <c r="G696" s="2" t="str">
        <f t="shared" si="30"/>
        <v>October</v>
      </c>
      <c r="H696" s="2" t="str">
        <f t="shared" si="31"/>
        <v>Week 5</v>
      </c>
      <c r="I696" s="2" t="str">
        <f t="shared" si="32"/>
        <v>Quarter 4</v>
      </c>
    </row>
    <row r="697" spans="1:9" x14ac:dyDescent="0.25">
      <c r="A697">
        <v>2000086625</v>
      </c>
      <c r="B697" t="s">
        <v>27</v>
      </c>
      <c r="C697" t="s">
        <v>9</v>
      </c>
      <c r="D697">
        <v>21.6</v>
      </c>
      <c r="F697" s="3">
        <v>44131</v>
      </c>
      <c r="G697" s="2" t="str">
        <f t="shared" si="30"/>
        <v>October</v>
      </c>
      <c r="H697" s="2" t="str">
        <f t="shared" si="31"/>
        <v>Week 5</v>
      </c>
      <c r="I697" s="2" t="str">
        <f t="shared" si="32"/>
        <v>Quarter 4</v>
      </c>
    </row>
    <row r="698" spans="1:9" x14ac:dyDescent="0.25">
      <c r="A698">
        <v>2000086341</v>
      </c>
      <c r="B698" t="s">
        <v>27</v>
      </c>
      <c r="C698" t="s">
        <v>18</v>
      </c>
      <c r="D698">
        <v>270.35000000000002</v>
      </c>
      <c r="F698" s="3">
        <v>44131</v>
      </c>
      <c r="G698" s="2" t="str">
        <f t="shared" si="30"/>
        <v>October</v>
      </c>
      <c r="H698" s="2" t="str">
        <f t="shared" si="31"/>
        <v>Week 5</v>
      </c>
      <c r="I698" s="2" t="str">
        <f t="shared" si="32"/>
        <v>Quarter 4</v>
      </c>
    </row>
    <row r="699" spans="1:9" x14ac:dyDescent="0.25">
      <c r="A699">
        <v>2000086342</v>
      </c>
      <c r="B699" t="s">
        <v>27</v>
      </c>
      <c r="C699" t="s">
        <v>18</v>
      </c>
      <c r="D699">
        <v>93.6</v>
      </c>
      <c r="F699" s="3">
        <v>44131</v>
      </c>
      <c r="G699" s="2" t="str">
        <f t="shared" si="30"/>
        <v>October</v>
      </c>
      <c r="H699" s="2" t="str">
        <f t="shared" si="31"/>
        <v>Week 5</v>
      </c>
      <c r="I699" s="2" t="str">
        <f t="shared" si="32"/>
        <v>Quarter 4</v>
      </c>
    </row>
    <row r="700" spans="1:9" x14ac:dyDescent="0.25">
      <c r="A700">
        <v>2000086452</v>
      </c>
      <c r="B700" t="s">
        <v>27</v>
      </c>
      <c r="C700" t="s">
        <v>11</v>
      </c>
      <c r="D700">
        <v>15.35</v>
      </c>
      <c r="F700" s="3">
        <v>44131</v>
      </c>
      <c r="G700" s="2" t="str">
        <f t="shared" si="30"/>
        <v>October</v>
      </c>
      <c r="H700" s="2" t="str">
        <f t="shared" si="31"/>
        <v>Week 5</v>
      </c>
      <c r="I700" s="2" t="str">
        <f t="shared" si="32"/>
        <v>Quarter 4</v>
      </c>
    </row>
    <row r="701" spans="1:9" x14ac:dyDescent="0.25">
      <c r="A701">
        <v>2000086334</v>
      </c>
      <c r="B701" t="s">
        <v>27</v>
      </c>
      <c r="C701" t="s">
        <v>18</v>
      </c>
      <c r="D701">
        <v>298.5</v>
      </c>
      <c r="F701" s="3">
        <v>44131</v>
      </c>
      <c r="G701" s="2" t="str">
        <f t="shared" si="30"/>
        <v>October</v>
      </c>
      <c r="H701" s="2" t="str">
        <f t="shared" si="31"/>
        <v>Week 5</v>
      </c>
      <c r="I701" s="2" t="str">
        <f t="shared" si="32"/>
        <v>Quarter 4</v>
      </c>
    </row>
    <row r="702" spans="1:9" x14ac:dyDescent="0.25">
      <c r="A702">
        <v>2000086390</v>
      </c>
      <c r="B702" t="s">
        <v>27</v>
      </c>
      <c r="C702" t="s">
        <v>12</v>
      </c>
      <c r="D702">
        <v>72.25</v>
      </c>
      <c r="F702" s="3">
        <v>44131</v>
      </c>
      <c r="G702" s="2" t="str">
        <f t="shared" si="30"/>
        <v>October</v>
      </c>
      <c r="H702" s="2" t="str">
        <f t="shared" si="31"/>
        <v>Week 5</v>
      </c>
      <c r="I702" s="2" t="str">
        <f t="shared" si="32"/>
        <v>Quarter 4</v>
      </c>
    </row>
    <row r="703" spans="1:9" x14ac:dyDescent="0.25">
      <c r="A703">
        <v>2000086425</v>
      </c>
      <c r="B703" t="s">
        <v>27</v>
      </c>
      <c r="C703" t="s">
        <v>12</v>
      </c>
      <c r="D703">
        <v>43.2</v>
      </c>
      <c r="F703" s="3">
        <v>44131</v>
      </c>
      <c r="G703" s="2" t="str">
        <f t="shared" si="30"/>
        <v>October</v>
      </c>
      <c r="H703" s="2" t="str">
        <f t="shared" si="31"/>
        <v>Week 5</v>
      </c>
      <c r="I703" s="2" t="str">
        <f t="shared" si="32"/>
        <v>Quarter 4</v>
      </c>
    </row>
    <row r="704" spans="1:9" x14ac:dyDescent="0.25">
      <c r="A704">
        <v>2000086425</v>
      </c>
      <c r="B704" t="s">
        <v>27</v>
      </c>
      <c r="C704" t="s">
        <v>12</v>
      </c>
      <c r="D704">
        <v>7.7</v>
      </c>
      <c r="F704" s="3">
        <v>44131</v>
      </c>
      <c r="G704" s="2" t="str">
        <f t="shared" si="30"/>
        <v>October</v>
      </c>
      <c r="H704" s="2" t="str">
        <f t="shared" si="31"/>
        <v>Week 5</v>
      </c>
      <c r="I704" s="2" t="str">
        <f t="shared" si="32"/>
        <v>Quarter 4</v>
      </c>
    </row>
    <row r="705" spans="1:9" x14ac:dyDescent="0.25">
      <c r="A705">
        <v>2000086456</v>
      </c>
      <c r="B705" t="s">
        <v>27</v>
      </c>
      <c r="C705" t="s">
        <v>21</v>
      </c>
      <c r="D705">
        <v>41.35</v>
      </c>
      <c r="F705" s="3">
        <v>44131</v>
      </c>
      <c r="G705" s="2" t="str">
        <f t="shared" si="30"/>
        <v>October</v>
      </c>
      <c r="H705" s="2" t="str">
        <f t="shared" si="31"/>
        <v>Week 5</v>
      </c>
      <c r="I705" s="2" t="str">
        <f t="shared" si="32"/>
        <v>Quarter 4</v>
      </c>
    </row>
    <row r="706" spans="1:9" x14ac:dyDescent="0.25">
      <c r="A706">
        <v>2000086314</v>
      </c>
      <c r="B706" t="s">
        <v>27</v>
      </c>
      <c r="C706" t="s">
        <v>12</v>
      </c>
      <c r="D706">
        <v>113.2</v>
      </c>
      <c r="F706" s="3">
        <v>44131</v>
      </c>
      <c r="G706" s="2" t="str">
        <f t="shared" si="30"/>
        <v>October</v>
      </c>
      <c r="H706" s="2" t="str">
        <f t="shared" si="31"/>
        <v>Week 5</v>
      </c>
      <c r="I706" s="2" t="str">
        <f t="shared" si="32"/>
        <v>Quarter 4</v>
      </c>
    </row>
    <row r="707" spans="1:9" x14ac:dyDescent="0.25">
      <c r="A707">
        <v>2000086511</v>
      </c>
      <c r="B707" t="s">
        <v>27</v>
      </c>
      <c r="C707" t="s">
        <v>21</v>
      </c>
      <c r="D707">
        <v>36.9</v>
      </c>
      <c r="F707" s="3">
        <v>44131</v>
      </c>
      <c r="G707" s="2" t="str">
        <f t="shared" ref="G707:G770" si="33">TEXT(F707,"mmmm")</f>
        <v>October</v>
      </c>
      <c r="H707" s="2" t="str">
        <f t="shared" ref="H707:H770" si="34">"Week "&amp;((WEEKNUM(F707)-WEEKNUM(DATE(YEAR(F707),MONTH(F707),1))+1))</f>
        <v>Week 5</v>
      </c>
      <c r="I707" s="2" t="str">
        <f t="shared" ref="I707:I770" si="35">"Quarter " &amp; ROUNDUP((MONTH(F707))/3,0)</f>
        <v>Quarter 4</v>
      </c>
    </row>
    <row r="708" spans="1:9" x14ac:dyDescent="0.25">
      <c r="A708">
        <v>2000086263</v>
      </c>
      <c r="B708" t="s">
        <v>27</v>
      </c>
      <c r="C708" t="s">
        <v>18</v>
      </c>
      <c r="D708">
        <v>789.35</v>
      </c>
      <c r="F708" s="3">
        <v>44131</v>
      </c>
      <c r="G708" s="2" t="str">
        <f t="shared" si="33"/>
        <v>October</v>
      </c>
      <c r="H708" s="2" t="str">
        <f t="shared" si="34"/>
        <v>Week 5</v>
      </c>
      <c r="I708" s="2" t="str">
        <f t="shared" si="35"/>
        <v>Quarter 4</v>
      </c>
    </row>
    <row r="709" spans="1:9" x14ac:dyDescent="0.25">
      <c r="A709">
        <v>2000086244</v>
      </c>
      <c r="B709" t="s">
        <v>27</v>
      </c>
      <c r="C709" t="s">
        <v>18</v>
      </c>
      <c r="D709">
        <v>2716.8</v>
      </c>
      <c r="F709" s="3">
        <v>44131</v>
      </c>
      <c r="G709" s="2" t="str">
        <f t="shared" si="33"/>
        <v>October</v>
      </c>
      <c r="H709" s="2" t="str">
        <f t="shared" si="34"/>
        <v>Week 5</v>
      </c>
      <c r="I709" s="2" t="str">
        <f t="shared" si="35"/>
        <v>Quarter 4</v>
      </c>
    </row>
    <row r="710" spans="1:9" x14ac:dyDescent="0.25">
      <c r="A710">
        <v>2000086288</v>
      </c>
      <c r="B710" t="s">
        <v>27</v>
      </c>
      <c r="C710" t="s">
        <v>18</v>
      </c>
      <c r="D710">
        <v>471</v>
      </c>
      <c r="F710" s="3">
        <v>44131</v>
      </c>
      <c r="G710" s="2" t="str">
        <f t="shared" si="33"/>
        <v>October</v>
      </c>
      <c r="H710" s="2" t="str">
        <f t="shared" si="34"/>
        <v>Week 5</v>
      </c>
      <c r="I710" s="2" t="str">
        <f t="shared" si="35"/>
        <v>Quarter 4</v>
      </c>
    </row>
    <row r="711" spans="1:9" x14ac:dyDescent="0.25">
      <c r="A711">
        <v>2000086525</v>
      </c>
      <c r="B711" t="s">
        <v>27</v>
      </c>
      <c r="C711" t="s">
        <v>22</v>
      </c>
      <c r="D711">
        <v>39.1</v>
      </c>
      <c r="F711" s="3">
        <v>44131</v>
      </c>
      <c r="G711" s="2" t="str">
        <f t="shared" si="33"/>
        <v>October</v>
      </c>
      <c r="H711" s="2" t="str">
        <f t="shared" si="34"/>
        <v>Week 5</v>
      </c>
      <c r="I711" s="2" t="str">
        <f t="shared" si="35"/>
        <v>Quarter 4</v>
      </c>
    </row>
    <row r="712" spans="1:9" x14ac:dyDescent="0.25">
      <c r="A712">
        <v>2000086559</v>
      </c>
      <c r="B712" t="s">
        <v>27</v>
      </c>
      <c r="C712" t="s">
        <v>22</v>
      </c>
      <c r="D712">
        <v>70.75</v>
      </c>
      <c r="F712" s="3">
        <v>44131</v>
      </c>
      <c r="G712" s="2" t="str">
        <f t="shared" si="33"/>
        <v>October</v>
      </c>
      <c r="H712" s="2" t="str">
        <f t="shared" si="34"/>
        <v>Week 5</v>
      </c>
      <c r="I712" s="2" t="str">
        <f t="shared" si="35"/>
        <v>Quarter 4</v>
      </c>
    </row>
    <row r="713" spans="1:9" x14ac:dyDescent="0.25">
      <c r="A713">
        <v>2000086436</v>
      </c>
      <c r="B713" t="s">
        <v>27</v>
      </c>
      <c r="C713" t="s">
        <v>12</v>
      </c>
      <c r="D713">
        <v>54.75</v>
      </c>
      <c r="F713" s="3">
        <v>44131</v>
      </c>
      <c r="G713" s="2" t="str">
        <f t="shared" si="33"/>
        <v>October</v>
      </c>
      <c r="H713" s="2" t="str">
        <f t="shared" si="34"/>
        <v>Week 5</v>
      </c>
      <c r="I713" s="2" t="str">
        <f t="shared" si="35"/>
        <v>Quarter 4</v>
      </c>
    </row>
    <row r="714" spans="1:9" x14ac:dyDescent="0.25">
      <c r="A714">
        <v>2000086627</v>
      </c>
      <c r="B714" t="s">
        <v>27</v>
      </c>
      <c r="C714" t="s">
        <v>9</v>
      </c>
      <c r="D714">
        <v>28.75</v>
      </c>
      <c r="F714" s="3">
        <v>44131</v>
      </c>
      <c r="G714" s="2" t="str">
        <f t="shared" si="33"/>
        <v>October</v>
      </c>
      <c r="H714" s="2" t="str">
        <f t="shared" si="34"/>
        <v>Week 5</v>
      </c>
      <c r="I714" s="2" t="str">
        <f t="shared" si="35"/>
        <v>Quarter 4</v>
      </c>
    </row>
    <row r="715" spans="1:9" x14ac:dyDescent="0.25">
      <c r="A715">
        <v>2000086388</v>
      </c>
      <c r="B715" t="s">
        <v>27</v>
      </c>
      <c r="C715" t="s">
        <v>18</v>
      </c>
      <c r="D715">
        <v>141.30000000000001</v>
      </c>
      <c r="F715" s="3">
        <v>44131</v>
      </c>
      <c r="G715" s="2" t="str">
        <f t="shared" si="33"/>
        <v>October</v>
      </c>
      <c r="H715" s="2" t="str">
        <f t="shared" si="34"/>
        <v>Week 5</v>
      </c>
      <c r="I715" s="2" t="str">
        <f t="shared" si="35"/>
        <v>Quarter 4</v>
      </c>
    </row>
    <row r="716" spans="1:9" x14ac:dyDescent="0.25">
      <c r="A716">
        <v>2000086628</v>
      </c>
      <c r="B716" t="s">
        <v>27</v>
      </c>
      <c r="C716" t="s">
        <v>9</v>
      </c>
      <c r="D716">
        <v>15.65</v>
      </c>
      <c r="F716" s="3">
        <v>44131</v>
      </c>
      <c r="G716" s="2" t="str">
        <f t="shared" si="33"/>
        <v>October</v>
      </c>
      <c r="H716" s="2" t="str">
        <f t="shared" si="34"/>
        <v>Week 5</v>
      </c>
      <c r="I716" s="2" t="str">
        <f t="shared" si="35"/>
        <v>Quarter 4</v>
      </c>
    </row>
    <row r="717" spans="1:9" x14ac:dyDescent="0.25">
      <c r="A717">
        <v>2000086362</v>
      </c>
      <c r="B717" t="s">
        <v>27</v>
      </c>
      <c r="C717" t="s">
        <v>18</v>
      </c>
      <c r="D717">
        <v>210.2</v>
      </c>
      <c r="F717" s="3">
        <v>44131</v>
      </c>
      <c r="G717" s="2" t="str">
        <f t="shared" si="33"/>
        <v>October</v>
      </c>
      <c r="H717" s="2" t="str">
        <f t="shared" si="34"/>
        <v>Week 5</v>
      </c>
      <c r="I717" s="2" t="str">
        <f t="shared" si="35"/>
        <v>Quarter 4</v>
      </c>
    </row>
    <row r="718" spans="1:9" x14ac:dyDescent="0.25">
      <c r="A718">
        <v>2000086312</v>
      </c>
      <c r="B718" t="s">
        <v>27</v>
      </c>
      <c r="C718" t="s">
        <v>12</v>
      </c>
      <c r="D718">
        <v>109.2</v>
      </c>
      <c r="F718" s="3">
        <v>44131</v>
      </c>
      <c r="G718" s="2" t="str">
        <f t="shared" si="33"/>
        <v>October</v>
      </c>
      <c r="H718" s="2" t="str">
        <f t="shared" si="34"/>
        <v>Week 5</v>
      </c>
      <c r="I718" s="2" t="str">
        <f t="shared" si="35"/>
        <v>Quarter 4</v>
      </c>
    </row>
    <row r="719" spans="1:9" x14ac:dyDescent="0.25">
      <c r="A719">
        <v>2000086216</v>
      </c>
      <c r="B719" t="s">
        <v>27</v>
      </c>
      <c r="C719" t="s">
        <v>18</v>
      </c>
      <c r="D719">
        <v>11270</v>
      </c>
      <c r="F719" s="3">
        <v>44131</v>
      </c>
      <c r="G719" s="2" t="str">
        <f t="shared" si="33"/>
        <v>October</v>
      </c>
      <c r="H719" s="2" t="str">
        <f t="shared" si="34"/>
        <v>Week 5</v>
      </c>
      <c r="I719" s="2" t="str">
        <f t="shared" si="35"/>
        <v>Quarter 4</v>
      </c>
    </row>
    <row r="720" spans="1:9" x14ac:dyDescent="0.25">
      <c r="A720">
        <v>2000086357</v>
      </c>
      <c r="B720" t="s">
        <v>27</v>
      </c>
      <c r="C720" t="s">
        <v>18</v>
      </c>
      <c r="D720">
        <v>232.65</v>
      </c>
      <c r="F720" s="3">
        <v>44131</v>
      </c>
      <c r="G720" s="2" t="str">
        <f t="shared" si="33"/>
        <v>October</v>
      </c>
      <c r="H720" s="2" t="str">
        <f t="shared" si="34"/>
        <v>Week 5</v>
      </c>
      <c r="I720" s="2" t="str">
        <f t="shared" si="35"/>
        <v>Quarter 4</v>
      </c>
    </row>
    <row r="721" spans="1:9" x14ac:dyDescent="0.25">
      <c r="A721">
        <v>2000086319</v>
      </c>
      <c r="B721" t="s">
        <v>27</v>
      </c>
      <c r="C721" t="s">
        <v>12</v>
      </c>
      <c r="D721">
        <v>113.55</v>
      </c>
      <c r="F721" s="3">
        <v>44131</v>
      </c>
      <c r="G721" s="2" t="str">
        <f t="shared" si="33"/>
        <v>October</v>
      </c>
      <c r="H721" s="2" t="str">
        <f t="shared" si="34"/>
        <v>Week 5</v>
      </c>
      <c r="I721" s="2" t="str">
        <f t="shared" si="35"/>
        <v>Quarter 4</v>
      </c>
    </row>
    <row r="722" spans="1:9" x14ac:dyDescent="0.25">
      <c r="A722">
        <v>2000086398</v>
      </c>
      <c r="B722" t="s">
        <v>27</v>
      </c>
      <c r="C722" t="s">
        <v>12</v>
      </c>
      <c r="D722">
        <v>62.2</v>
      </c>
      <c r="F722" s="3">
        <v>44131</v>
      </c>
      <c r="G722" s="2" t="str">
        <f t="shared" si="33"/>
        <v>October</v>
      </c>
      <c r="H722" s="2" t="str">
        <f t="shared" si="34"/>
        <v>Week 5</v>
      </c>
      <c r="I722" s="2" t="str">
        <f t="shared" si="35"/>
        <v>Quarter 4</v>
      </c>
    </row>
    <row r="723" spans="1:9" x14ac:dyDescent="0.25">
      <c r="A723">
        <v>2000086356</v>
      </c>
      <c r="B723" t="s">
        <v>27</v>
      </c>
      <c r="C723" t="s">
        <v>18</v>
      </c>
      <c r="D723">
        <v>236.3</v>
      </c>
      <c r="F723" s="3">
        <v>44131</v>
      </c>
      <c r="G723" s="2" t="str">
        <f t="shared" si="33"/>
        <v>October</v>
      </c>
      <c r="H723" s="2" t="str">
        <f t="shared" si="34"/>
        <v>Week 5</v>
      </c>
      <c r="I723" s="2" t="str">
        <f t="shared" si="35"/>
        <v>Quarter 4</v>
      </c>
    </row>
    <row r="724" spans="1:9" x14ac:dyDescent="0.25">
      <c r="A724">
        <v>2000086471</v>
      </c>
      <c r="B724" t="s">
        <v>27</v>
      </c>
      <c r="C724" t="s">
        <v>12</v>
      </c>
      <c r="D724">
        <v>32.950000000000003</v>
      </c>
      <c r="F724" s="3">
        <v>44131</v>
      </c>
      <c r="G724" s="2" t="str">
        <f t="shared" si="33"/>
        <v>October</v>
      </c>
      <c r="H724" s="2" t="str">
        <f t="shared" si="34"/>
        <v>Week 5</v>
      </c>
      <c r="I724" s="2" t="str">
        <f t="shared" si="35"/>
        <v>Quarter 4</v>
      </c>
    </row>
    <row r="725" spans="1:9" x14ac:dyDescent="0.25">
      <c r="A725">
        <v>2000086270</v>
      </c>
      <c r="B725" t="s">
        <v>27</v>
      </c>
      <c r="C725" t="s">
        <v>18</v>
      </c>
      <c r="D725">
        <v>618.59</v>
      </c>
      <c r="F725" s="3">
        <v>44131</v>
      </c>
      <c r="G725" s="2" t="str">
        <f t="shared" si="33"/>
        <v>October</v>
      </c>
      <c r="H725" s="2" t="str">
        <f t="shared" si="34"/>
        <v>Week 5</v>
      </c>
      <c r="I725" s="2" t="str">
        <f t="shared" si="35"/>
        <v>Quarter 4</v>
      </c>
    </row>
    <row r="726" spans="1:9" x14ac:dyDescent="0.25">
      <c r="A726">
        <v>2000086291</v>
      </c>
      <c r="B726" t="s">
        <v>27</v>
      </c>
      <c r="C726" t="s">
        <v>18</v>
      </c>
      <c r="D726">
        <v>432.95</v>
      </c>
      <c r="F726" s="3">
        <v>44131</v>
      </c>
      <c r="G726" s="2" t="str">
        <f t="shared" si="33"/>
        <v>October</v>
      </c>
      <c r="H726" s="2" t="str">
        <f t="shared" si="34"/>
        <v>Week 5</v>
      </c>
      <c r="I726" s="2" t="str">
        <f t="shared" si="35"/>
        <v>Quarter 4</v>
      </c>
    </row>
    <row r="727" spans="1:9" x14ac:dyDescent="0.25">
      <c r="A727">
        <v>2000086494</v>
      </c>
      <c r="B727" t="s">
        <v>27</v>
      </c>
      <c r="C727" t="s">
        <v>12</v>
      </c>
      <c r="D727">
        <v>28.6</v>
      </c>
      <c r="F727" s="3">
        <v>44131</v>
      </c>
      <c r="G727" s="2" t="str">
        <f t="shared" si="33"/>
        <v>October</v>
      </c>
      <c r="H727" s="2" t="str">
        <f t="shared" si="34"/>
        <v>Week 5</v>
      </c>
      <c r="I727" s="2" t="str">
        <f t="shared" si="35"/>
        <v>Quarter 4</v>
      </c>
    </row>
    <row r="728" spans="1:9" x14ac:dyDescent="0.25">
      <c r="A728">
        <v>2000086374</v>
      </c>
      <c r="B728" t="s">
        <v>27</v>
      </c>
      <c r="C728" t="s">
        <v>18</v>
      </c>
      <c r="D728">
        <v>171</v>
      </c>
      <c r="F728" s="3">
        <v>44131</v>
      </c>
      <c r="G728" s="2" t="str">
        <f t="shared" si="33"/>
        <v>October</v>
      </c>
      <c r="H728" s="2" t="str">
        <f t="shared" si="34"/>
        <v>Week 5</v>
      </c>
      <c r="I728" s="2" t="str">
        <f t="shared" si="35"/>
        <v>Quarter 4</v>
      </c>
    </row>
    <row r="729" spans="1:9" x14ac:dyDescent="0.25">
      <c r="A729">
        <v>2000086330</v>
      </c>
      <c r="B729" t="s">
        <v>27</v>
      </c>
      <c r="C729" t="s">
        <v>18</v>
      </c>
      <c r="D729">
        <v>307.7</v>
      </c>
      <c r="F729" s="3">
        <v>44131</v>
      </c>
      <c r="G729" s="2" t="str">
        <f t="shared" si="33"/>
        <v>October</v>
      </c>
      <c r="H729" s="2" t="str">
        <f t="shared" si="34"/>
        <v>Week 5</v>
      </c>
      <c r="I729" s="2" t="str">
        <f t="shared" si="35"/>
        <v>Quarter 4</v>
      </c>
    </row>
    <row r="730" spans="1:9" x14ac:dyDescent="0.25">
      <c r="A730">
        <v>2000086311</v>
      </c>
      <c r="B730" t="s">
        <v>27</v>
      </c>
      <c r="C730" t="s">
        <v>18</v>
      </c>
      <c r="D730">
        <v>364.75</v>
      </c>
      <c r="F730" s="3">
        <v>44131</v>
      </c>
      <c r="G730" s="2" t="str">
        <f t="shared" si="33"/>
        <v>October</v>
      </c>
      <c r="H730" s="2" t="str">
        <f t="shared" si="34"/>
        <v>Week 5</v>
      </c>
      <c r="I730" s="2" t="str">
        <f t="shared" si="35"/>
        <v>Quarter 4</v>
      </c>
    </row>
    <row r="731" spans="1:9" x14ac:dyDescent="0.25">
      <c r="A731">
        <v>2000086295</v>
      </c>
      <c r="B731" t="s">
        <v>27</v>
      </c>
      <c r="C731" t="s">
        <v>12</v>
      </c>
      <c r="D731">
        <v>15.65</v>
      </c>
      <c r="F731" s="3">
        <v>44131</v>
      </c>
      <c r="G731" s="2" t="str">
        <f t="shared" si="33"/>
        <v>October</v>
      </c>
      <c r="H731" s="2" t="str">
        <f t="shared" si="34"/>
        <v>Week 5</v>
      </c>
      <c r="I731" s="2" t="str">
        <f t="shared" si="35"/>
        <v>Quarter 4</v>
      </c>
    </row>
    <row r="732" spans="1:9" x14ac:dyDescent="0.25">
      <c r="A732">
        <v>2000086295</v>
      </c>
      <c r="B732" t="s">
        <v>27</v>
      </c>
      <c r="C732" t="s">
        <v>12</v>
      </c>
      <c r="D732">
        <v>39.1</v>
      </c>
      <c r="F732" s="3">
        <v>44131</v>
      </c>
      <c r="G732" s="2" t="str">
        <f t="shared" si="33"/>
        <v>October</v>
      </c>
      <c r="H732" s="2" t="str">
        <f t="shared" si="34"/>
        <v>Week 5</v>
      </c>
      <c r="I732" s="2" t="str">
        <f t="shared" si="35"/>
        <v>Quarter 4</v>
      </c>
    </row>
    <row r="733" spans="1:9" x14ac:dyDescent="0.25">
      <c r="A733">
        <v>2000086255</v>
      </c>
      <c r="B733" t="s">
        <v>27</v>
      </c>
      <c r="C733" t="s">
        <v>18</v>
      </c>
      <c r="D733">
        <v>1382.35</v>
      </c>
      <c r="F733" s="3">
        <v>44131</v>
      </c>
      <c r="G733" s="2" t="str">
        <f t="shared" si="33"/>
        <v>October</v>
      </c>
      <c r="H733" s="2" t="str">
        <f t="shared" si="34"/>
        <v>Week 5</v>
      </c>
      <c r="I733" s="2" t="str">
        <f t="shared" si="35"/>
        <v>Quarter 4</v>
      </c>
    </row>
    <row r="734" spans="1:9" x14ac:dyDescent="0.25">
      <c r="A734">
        <v>2000086470</v>
      </c>
      <c r="B734" t="s">
        <v>27</v>
      </c>
      <c r="C734" t="s">
        <v>12</v>
      </c>
      <c r="D734">
        <v>35.6</v>
      </c>
      <c r="F734" s="3">
        <v>44131</v>
      </c>
      <c r="G734" s="2" t="str">
        <f t="shared" si="33"/>
        <v>October</v>
      </c>
      <c r="H734" s="2" t="str">
        <f t="shared" si="34"/>
        <v>Week 5</v>
      </c>
      <c r="I734" s="2" t="str">
        <f t="shared" si="35"/>
        <v>Quarter 4</v>
      </c>
    </row>
    <row r="735" spans="1:9" x14ac:dyDescent="0.25">
      <c r="A735">
        <v>2000086301</v>
      </c>
      <c r="B735" t="s">
        <v>27</v>
      </c>
      <c r="C735" t="s">
        <v>18</v>
      </c>
      <c r="D735">
        <v>378</v>
      </c>
      <c r="F735" s="3">
        <v>44131</v>
      </c>
      <c r="G735" s="2" t="str">
        <f t="shared" si="33"/>
        <v>October</v>
      </c>
      <c r="H735" s="2" t="str">
        <f t="shared" si="34"/>
        <v>Week 5</v>
      </c>
      <c r="I735" s="2" t="str">
        <f t="shared" si="35"/>
        <v>Quarter 4</v>
      </c>
    </row>
    <row r="736" spans="1:9" x14ac:dyDescent="0.25">
      <c r="A736">
        <v>2000086629</v>
      </c>
      <c r="B736" t="s">
        <v>27</v>
      </c>
      <c r="C736" t="s">
        <v>9</v>
      </c>
      <c r="D736">
        <v>35.299999999999997</v>
      </c>
      <c r="F736" s="3">
        <v>44131</v>
      </c>
      <c r="G736" s="2" t="str">
        <f t="shared" si="33"/>
        <v>October</v>
      </c>
      <c r="H736" s="2" t="str">
        <f t="shared" si="34"/>
        <v>Week 5</v>
      </c>
      <c r="I736" s="2" t="str">
        <f t="shared" si="35"/>
        <v>Quarter 4</v>
      </c>
    </row>
    <row r="737" spans="1:9" x14ac:dyDescent="0.25">
      <c r="A737">
        <v>2000086344</v>
      </c>
      <c r="B737" t="s">
        <v>27</v>
      </c>
      <c r="C737" t="s">
        <v>18</v>
      </c>
      <c r="D737">
        <v>262.95</v>
      </c>
      <c r="F737" s="3">
        <v>44131</v>
      </c>
      <c r="G737" s="2" t="str">
        <f t="shared" si="33"/>
        <v>October</v>
      </c>
      <c r="H737" s="2" t="str">
        <f t="shared" si="34"/>
        <v>Week 5</v>
      </c>
      <c r="I737" s="2" t="str">
        <f t="shared" si="35"/>
        <v>Quarter 4</v>
      </c>
    </row>
    <row r="738" spans="1:9" x14ac:dyDescent="0.25">
      <c r="A738">
        <v>2000086360</v>
      </c>
      <c r="B738" t="s">
        <v>27</v>
      </c>
      <c r="C738" t="s">
        <v>18</v>
      </c>
      <c r="D738">
        <v>214.8</v>
      </c>
      <c r="F738" s="3">
        <v>44131</v>
      </c>
      <c r="G738" s="2" t="str">
        <f t="shared" si="33"/>
        <v>October</v>
      </c>
      <c r="H738" s="2" t="str">
        <f t="shared" si="34"/>
        <v>Week 5</v>
      </c>
      <c r="I738" s="2" t="str">
        <f t="shared" si="35"/>
        <v>Quarter 4</v>
      </c>
    </row>
    <row r="739" spans="1:9" x14ac:dyDescent="0.25">
      <c r="A739">
        <v>2000086630</v>
      </c>
      <c r="B739" t="s">
        <v>27</v>
      </c>
      <c r="C739" t="s">
        <v>9</v>
      </c>
      <c r="D739">
        <v>7.8</v>
      </c>
      <c r="F739" s="3">
        <v>44131</v>
      </c>
      <c r="G739" s="2" t="str">
        <f t="shared" si="33"/>
        <v>October</v>
      </c>
      <c r="H739" s="2" t="str">
        <f t="shared" si="34"/>
        <v>Week 5</v>
      </c>
      <c r="I739" s="2" t="str">
        <f t="shared" si="35"/>
        <v>Quarter 4</v>
      </c>
    </row>
    <row r="740" spans="1:9" x14ac:dyDescent="0.25">
      <c r="A740">
        <v>2000086631</v>
      </c>
      <c r="B740" t="s">
        <v>27</v>
      </c>
      <c r="C740" t="s">
        <v>9</v>
      </c>
      <c r="D740">
        <v>72.5</v>
      </c>
      <c r="F740" s="3">
        <v>44131</v>
      </c>
      <c r="G740" s="2" t="str">
        <f t="shared" si="33"/>
        <v>October</v>
      </c>
      <c r="H740" s="2" t="str">
        <f t="shared" si="34"/>
        <v>Week 5</v>
      </c>
      <c r="I740" s="2" t="str">
        <f t="shared" si="35"/>
        <v>Quarter 4</v>
      </c>
    </row>
    <row r="741" spans="1:9" x14ac:dyDescent="0.25">
      <c r="A741">
        <v>2000086297</v>
      </c>
      <c r="B741" t="s">
        <v>27</v>
      </c>
      <c r="C741" t="s">
        <v>18</v>
      </c>
      <c r="D741">
        <v>388.75</v>
      </c>
      <c r="F741" s="3">
        <v>44131</v>
      </c>
      <c r="G741" s="2" t="str">
        <f t="shared" si="33"/>
        <v>October</v>
      </c>
      <c r="H741" s="2" t="str">
        <f t="shared" si="34"/>
        <v>Week 5</v>
      </c>
      <c r="I741" s="2" t="str">
        <f t="shared" si="35"/>
        <v>Quarter 4</v>
      </c>
    </row>
    <row r="742" spans="1:9" x14ac:dyDescent="0.25">
      <c r="A742">
        <v>2000086492</v>
      </c>
      <c r="B742" t="s">
        <v>27</v>
      </c>
      <c r="C742" t="s">
        <v>12</v>
      </c>
      <c r="D742">
        <v>29</v>
      </c>
      <c r="F742" s="3">
        <v>44131</v>
      </c>
      <c r="G742" s="2" t="str">
        <f t="shared" si="33"/>
        <v>October</v>
      </c>
      <c r="H742" s="2" t="str">
        <f t="shared" si="34"/>
        <v>Week 5</v>
      </c>
      <c r="I742" s="2" t="str">
        <f t="shared" si="35"/>
        <v>Quarter 4</v>
      </c>
    </row>
    <row r="743" spans="1:9" x14ac:dyDescent="0.25">
      <c r="A743">
        <v>2000086376</v>
      </c>
      <c r="B743" t="s">
        <v>27</v>
      </c>
      <c r="C743" t="s">
        <v>18</v>
      </c>
      <c r="D743">
        <v>168.05</v>
      </c>
      <c r="F743" s="3">
        <v>44131</v>
      </c>
      <c r="G743" s="2" t="str">
        <f t="shared" si="33"/>
        <v>October</v>
      </c>
      <c r="H743" s="2" t="str">
        <f t="shared" si="34"/>
        <v>Week 5</v>
      </c>
      <c r="I743" s="2" t="str">
        <f t="shared" si="35"/>
        <v>Quarter 4</v>
      </c>
    </row>
    <row r="744" spans="1:9" x14ac:dyDescent="0.25">
      <c r="A744">
        <v>2000086391</v>
      </c>
      <c r="B744" t="s">
        <v>27</v>
      </c>
      <c r="C744" t="s">
        <v>12</v>
      </c>
      <c r="D744">
        <v>72.25</v>
      </c>
      <c r="F744" s="3">
        <v>44131</v>
      </c>
      <c r="G744" s="2" t="str">
        <f t="shared" si="33"/>
        <v>October</v>
      </c>
      <c r="H744" s="2" t="str">
        <f t="shared" si="34"/>
        <v>Week 5</v>
      </c>
      <c r="I744" s="2" t="str">
        <f t="shared" si="35"/>
        <v>Quarter 4</v>
      </c>
    </row>
    <row r="745" spans="1:9" x14ac:dyDescent="0.25">
      <c r="A745">
        <v>2000086493</v>
      </c>
      <c r="B745" t="s">
        <v>27</v>
      </c>
      <c r="C745" t="s">
        <v>12</v>
      </c>
      <c r="D745">
        <v>23.2</v>
      </c>
      <c r="F745" s="3">
        <v>44131</v>
      </c>
      <c r="G745" s="2" t="str">
        <f t="shared" si="33"/>
        <v>October</v>
      </c>
      <c r="H745" s="2" t="str">
        <f t="shared" si="34"/>
        <v>Week 5</v>
      </c>
      <c r="I745" s="2" t="str">
        <f t="shared" si="35"/>
        <v>Quarter 4</v>
      </c>
    </row>
    <row r="746" spans="1:9" x14ac:dyDescent="0.25">
      <c r="A746">
        <v>2000086632</v>
      </c>
      <c r="B746" t="s">
        <v>27</v>
      </c>
      <c r="C746" t="s">
        <v>9</v>
      </c>
      <c r="D746">
        <v>6.3</v>
      </c>
      <c r="F746" s="3">
        <v>44131</v>
      </c>
      <c r="G746" s="2" t="str">
        <f t="shared" si="33"/>
        <v>October</v>
      </c>
      <c r="H746" s="2" t="str">
        <f t="shared" si="34"/>
        <v>Week 5</v>
      </c>
      <c r="I746" s="2" t="str">
        <f t="shared" si="35"/>
        <v>Quarter 4</v>
      </c>
    </row>
    <row r="747" spans="1:9" x14ac:dyDescent="0.25">
      <c r="A747">
        <v>2000086439</v>
      </c>
      <c r="B747" t="s">
        <v>27</v>
      </c>
      <c r="C747" t="s">
        <v>12</v>
      </c>
      <c r="D747">
        <v>54.1</v>
      </c>
      <c r="F747" s="3">
        <v>44131</v>
      </c>
      <c r="G747" s="2" t="str">
        <f t="shared" si="33"/>
        <v>October</v>
      </c>
      <c r="H747" s="2" t="str">
        <f t="shared" si="34"/>
        <v>Week 5</v>
      </c>
      <c r="I747" s="2" t="str">
        <f t="shared" si="35"/>
        <v>Quarter 4</v>
      </c>
    </row>
    <row r="748" spans="1:9" x14ac:dyDescent="0.25">
      <c r="A748">
        <v>2000086472</v>
      </c>
      <c r="B748" t="s">
        <v>27</v>
      </c>
      <c r="C748" t="s">
        <v>12</v>
      </c>
      <c r="D748">
        <v>13.2</v>
      </c>
      <c r="F748" s="3">
        <v>44131</v>
      </c>
      <c r="G748" s="2" t="str">
        <f t="shared" si="33"/>
        <v>October</v>
      </c>
      <c r="H748" s="2" t="str">
        <f t="shared" si="34"/>
        <v>Week 5</v>
      </c>
      <c r="I748" s="2" t="str">
        <f t="shared" si="35"/>
        <v>Quarter 4</v>
      </c>
    </row>
    <row r="749" spans="1:9" x14ac:dyDescent="0.25">
      <c r="A749">
        <v>2000086238</v>
      </c>
      <c r="B749" t="s">
        <v>27</v>
      </c>
      <c r="C749" t="s">
        <v>18</v>
      </c>
      <c r="D749">
        <v>6035.7</v>
      </c>
      <c r="F749" s="3">
        <v>44131</v>
      </c>
      <c r="G749" s="2" t="str">
        <f t="shared" si="33"/>
        <v>October</v>
      </c>
      <c r="H749" s="2" t="str">
        <f t="shared" si="34"/>
        <v>Week 5</v>
      </c>
      <c r="I749" s="2" t="str">
        <f t="shared" si="35"/>
        <v>Quarter 4</v>
      </c>
    </row>
    <row r="750" spans="1:9" x14ac:dyDescent="0.25">
      <c r="A750">
        <v>2000086282</v>
      </c>
      <c r="B750" t="s">
        <v>27</v>
      </c>
      <c r="C750" t="s">
        <v>18</v>
      </c>
      <c r="D750">
        <v>511.35</v>
      </c>
      <c r="F750" s="3">
        <v>44131</v>
      </c>
      <c r="G750" s="2" t="str">
        <f t="shared" si="33"/>
        <v>October</v>
      </c>
      <c r="H750" s="2" t="str">
        <f t="shared" si="34"/>
        <v>Week 5</v>
      </c>
      <c r="I750" s="2" t="str">
        <f t="shared" si="35"/>
        <v>Quarter 4</v>
      </c>
    </row>
    <row r="751" spans="1:9" x14ac:dyDescent="0.25">
      <c r="A751">
        <v>2000086259</v>
      </c>
      <c r="B751" t="s">
        <v>27</v>
      </c>
      <c r="C751" t="s">
        <v>18</v>
      </c>
      <c r="D751">
        <v>1111.7</v>
      </c>
      <c r="F751" s="3">
        <v>44131</v>
      </c>
      <c r="G751" s="2" t="str">
        <f t="shared" si="33"/>
        <v>October</v>
      </c>
      <c r="H751" s="2" t="str">
        <f t="shared" si="34"/>
        <v>Week 5</v>
      </c>
      <c r="I751" s="2" t="str">
        <f t="shared" si="35"/>
        <v>Quarter 4</v>
      </c>
    </row>
    <row r="752" spans="1:9" x14ac:dyDescent="0.25">
      <c r="A752">
        <v>2000086495</v>
      </c>
      <c r="B752" t="s">
        <v>27</v>
      </c>
      <c r="C752" t="s">
        <v>12</v>
      </c>
      <c r="D752">
        <v>9000</v>
      </c>
      <c r="F752" s="3">
        <v>44131</v>
      </c>
      <c r="G752" s="2" t="str">
        <f t="shared" si="33"/>
        <v>October</v>
      </c>
      <c r="H752" s="2" t="str">
        <f t="shared" si="34"/>
        <v>Week 5</v>
      </c>
      <c r="I752" s="2" t="str">
        <f t="shared" si="35"/>
        <v>Quarter 4</v>
      </c>
    </row>
    <row r="753" spans="1:9" x14ac:dyDescent="0.25">
      <c r="A753">
        <v>2000086074</v>
      </c>
      <c r="B753" t="s">
        <v>27</v>
      </c>
      <c r="C753" t="s">
        <v>12</v>
      </c>
      <c r="D753">
        <v>7.7</v>
      </c>
      <c r="F753" s="3">
        <v>44131</v>
      </c>
      <c r="G753" s="2" t="str">
        <f t="shared" si="33"/>
        <v>October</v>
      </c>
      <c r="H753" s="2" t="str">
        <f t="shared" si="34"/>
        <v>Week 5</v>
      </c>
      <c r="I753" s="2" t="str">
        <f t="shared" si="35"/>
        <v>Quarter 4</v>
      </c>
    </row>
    <row r="754" spans="1:9" x14ac:dyDescent="0.25">
      <c r="A754">
        <v>2000086075</v>
      </c>
      <c r="B754" t="s">
        <v>27</v>
      </c>
      <c r="C754" t="s">
        <v>12</v>
      </c>
      <c r="D754">
        <v>15.5</v>
      </c>
      <c r="F754" s="3">
        <v>44131</v>
      </c>
      <c r="G754" s="2" t="str">
        <f t="shared" si="33"/>
        <v>October</v>
      </c>
      <c r="H754" s="2" t="str">
        <f t="shared" si="34"/>
        <v>Week 5</v>
      </c>
      <c r="I754" s="2" t="str">
        <f t="shared" si="35"/>
        <v>Quarter 4</v>
      </c>
    </row>
    <row r="755" spans="1:9" x14ac:dyDescent="0.25">
      <c r="A755">
        <v>2000086076</v>
      </c>
      <c r="B755" t="s">
        <v>27</v>
      </c>
      <c r="C755" t="s">
        <v>12</v>
      </c>
      <c r="D755">
        <v>110</v>
      </c>
      <c r="F755" s="3">
        <v>44131</v>
      </c>
      <c r="G755" s="2" t="str">
        <f t="shared" si="33"/>
        <v>October</v>
      </c>
      <c r="H755" s="2" t="str">
        <f t="shared" si="34"/>
        <v>Week 5</v>
      </c>
      <c r="I755" s="2" t="str">
        <f t="shared" si="35"/>
        <v>Quarter 4</v>
      </c>
    </row>
    <row r="756" spans="1:9" x14ac:dyDescent="0.25">
      <c r="A756">
        <v>2000086077</v>
      </c>
      <c r="B756" t="s">
        <v>27</v>
      </c>
      <c r="C756" t="s">
        <v>12</v>
      </c>
      <c r="D756">
        <v>54.05</v>
      </c>
      <c r="F756" s="3">
        <v>44131</v>
      </c>
      <c r="G756" s="2" t="str">
        <f t="shared" si="33"/>
        <v>October</v>
      </c>
      <c r="H756" s="2" t="str">
        <f t="shared" si="34"/>
        <v>Week 5</v>
      </c>
      <c r="I756" s="2" t="str">
        <f t="shared" si="35"/>
        <v>Quarter 4</v>
      </c>
    </row>
    <row r="757" spans="1:9" x14ac:dyDescent="0.25">
      <c r="A757">
        <v>2000086078</v>
      </c>
      <c r="B757" t="s">
        <v>27</v>
      </c>
      <c r="C757" t="s">
        <v>12</v>
      </c>
      <c r="D757">
        <v>11.13</v>
      </c>
      <c r="F757" s="3">
        <v>44131</v>
      </c>
      <c r="G757" s="2" t="str">
        <f t="shared" si="33"/>
        <v>October</v>
      </c>
      <c r="H757" s="2" t="str">
        <f t="shared" si="34"/>
        <v>Week 5</v>
      </c>
      <c r="I757" s="2" t="str">
        <f t="shared" si="35"/>
        <v>Quarter 4</v>
      </c>
    </row>
    <row r="758" spans="1:9" x14ac:dyDescent="0.25">
      <c r="A758">
        <v>2000086079</v>
      </c>
      <c r="B758" t="s">
        <v>27</v>
      </c>
      <c r="C758" t="s">
        <v>12</v>
      </c>
      <c r="D758">
        <v>7.7</v>
      </c>
      <c r="F758" s="3">
        <v>44131</v>
      </c>
      <c r="G758" s="2" t="str">
        <f t="shared" si="33"/>
        <v>October</v>
      </c>
      <c r="H758" s="2" t="str">
        <f t="shared" si="34"/>
        <v>Week 5</v>
      </c>
      <c r="I758" s="2" t="str">
        <f t="shared" si="35"/>
        <v>Quarter 4</v>
      </c>
    </row>
    <row r="759" spans="1:9" x14ac:dyDescent="0.25">
      <c r="A759">
        <v>2000086080</v>
      </c>
      <c r="B759" t="s">
        <v>27</v>
      </c>
      <c r="C759" t="s">
        <v>12</v>
      </c>
      <c r="D759">
        <v>282.39999999999998</v>
      </c>
      <c r="F759" s="3">
        <v>44131</v>
      </c>
      <c r="G759" s="2" t="str">
        <f t="shared" si="33"/>
        <v>October</v>
      </c>
      <c r="H759" s="2" t="str">
        <f t="shared" si="34"/>
        <v>Week 5</v>
      </c>
      <c r="I759" s="2" t="str">
        <f t="shared" si="35"/>
        <v>Quarter 4</v>
      </c>
    </row>
    <row r="760" spans="1:9" x14ac:dyDescent="0.25">
      <c r="A760">
        <v>2000086081</v>
      </c>
      <c r="B760" t="s">
        <v>27</v>
      </c>
      <c r="C760" t="s">
        <v>12</v>
      </c>
      <c r="D760">
        <v>27.85</v>
      </c>
      <c r="F760" s="3">
        <v>44131</v>
      </c>
      <c r="G760" s="2" t="str">
        <f t="shared" si="33"/>
        <v>October</v>
      </c>
      <c r="H760" s="2" t="str">
        <f t="shared" si="34"/>
        <v>Week 5</v>
      </c>
      <c r="I760" s="2" t="str">
        <f t="shared" si="35"/>
        <v>Quarter 4</v>
      </c>
    </row>
    <row r="761" spans="1:9" x14ac:dyDescent="0.25">
      <c r="A761">
        <v>2000086082</v>
      </c>
      <c r="B761" t="s">
        <v>27</v>
      </c>
      <c r="C761" t="s">
        <v>12</v>
      </c>
      <c r="D761">
        <v>7.8</v>
      </c>
      <c r="F761" s="3">
        <v>44131</v>
      </c>
      <c r="G761" s="2" t="str">
        <f t="shared" si="33"/>
        <v>October</v>
      </c>
      <c r="H761" s="2" t="str">
        <f t="shared" si="34"/>
        <v>Week 5</v>
      </c>
      <c r="I761" s="2" t="str">
        <f t="shared" si="35"/>
        <v>Quarter 4</v>
      </c>
    </row>
    <row r="762" spans="1:9" x14ac:dyDescent="0.25">
      <c r="A762">
        <v>2000086083</v>
      </c>
      <c r="B762" t="s">
        <v>27</v>
      </c>
      <c r="C762" t="s">
        <v>12</v>
      </c>
      <c r="D762">
        <v>8.5</v>
      </c>
      <c r="F762" s="3">
        <v>44131</v>
      </c>
      <c r="G762" s="2" t="str">
        <f t="shared" si="33"/>
        <v>October</v>
      </c>
      <c r="H762" s="2" t="str">
        <f t="shared" si="34"/>
        <v>Week 5</v>
      </c>
      <c r="I762" s="2" t="str">
        <f t="shared" si="35"/>
        <v>Quarter 4</v>
      </c>
    </row>
    <row r="763" spans="1:9" x14ac:dyDescent="0.25">
      <c r="A763">
        <v>2000086084</v>
      </c>
      <c r="B763" t="s">
        <v>27</v>
      </c>
      <c r="C763" t="s">
        <v>12</v>
      </c>
      <c r="D763">
        <v>4.0999999999999996</v>
      </c>
      <c r="F763" s="3">
        <v>44131</v>
      </c>
      <c r="G763" s="2" t="str">
        <f t="shared" si="33"/>
        <v>October</v>
      </c>
      <c r="H763" s="2" t="str">
        <f t="shared" si="34"/>
        <v>Week 5</v>
      </c>
      <c r="I763" s="2" t="str">
        <f t="shared" si="35"/>
        <v>Quarter 4</v>
      </c>
    </row>
    <row r="764" spans="1:9" x14ac:dyDescent="0.25">
      <c r="A764">
        <v>2000086102</v>
      </c>
      <c r="B764" t="s">
        <v>27</v>
      </c>
      <c r="C764" t="s">
        <v>18</v>
      </c>
      <c r="D764">
        <v>1980.73</v>
      </c>
      <c r="F764" s="3">
        <v>44131</v>
      </c>
      <c r="G764" s="2" t="str">
        <f t="shared" si="33"/>
        <v>October</v>
      </c>
      <c r="H764" s="2" t="str">
        <f t="shared" si="34"/>
        <v>Week 5</v>
      </c>
      <c r="I764" s="2" t="str">
        <f t="shared" si="35"/>
        <v>Quarter 4</v>
      </c>
    </row>
    <row r="765" spans="1:9" x14ac:dyDescent="0.25">
      <c r="A765">
        <v>2000086085</v>
      </c>
      <c r="B765" t="s">
        <v>27</v>
      </c>
      <c r="C765" t="s">
        <v>12</v>
      </c>
      <c r="D765">
        <v>16.55</v>
      </c>
      <c r="F765" s="3">
        <v>44131</v>
      </c>
      <c r="G765" s="2" t="str">
        <f t="shared" si="33"/>
        <v>October</v>
      </c>
      <c r="H765" s="2" t="str">
        <f t="shared" si="34"/>
        <v>Week 5</v>
      </c>
      <c r="I765" s="2" t="str">
        <f t="shared" si="35"/>
        <v>Quarter 4</v>
      </c>
    </row>
    <row r="766" spans="1:9" x14ac:dyDescent="0.25">
      <c r="A766">
        <v>2000086086</v>
      </c>
      <c r="B766" t="s">
        <v>27</v>
      </c>
      <c r="C766" t="s">
        <v>12</v>
      </c>
      <c r="D766">
        <v>7.55</v>
      </c>
      <c r="F766" s="3">
        <v>44131</v>
      </c>
      <c r="G766" s="2" t="str">
        <f t="shared" si="33"/>
        <v>October</v>
      </c>
      <c r="H766" s="2" t="str">
        <f t="shared" si="34"/>
        <v>Week 5</v>
      </c>
      <c r="I766" s="2" t="str">
        <f t="shared" si="35"/>
        <v>Quarter 4</v>
      </c>
    </row>
    <row r="767" spans="1:9" x14ac:dyDescent="0.25">
      <c r="A767">
        <v>2000086087</v>
      </c>
      <c r="B767" t="s">
        <v>27</v>
      </c>
      <c r="C767" t="s">
        <v>12</v>
      </c>
      <c r="D767">
        <v>36.700000000000003</v>
      </c>
      <c r="F767" s="3">
        <v>44131</v>
      </c>
      <c r="G767" s="2" t="str">
        <f t="shared" si="33"/>
        <v>October</v>
      </c>
      <c r="H767" s="2" t="str">
        <f t="shared" si="34"/>
        <v>Week 5</v>
      </c>
      <c r="I767" s="2" t="str">
        <f t="shared" si="35"/>
        <v>Quarter 4</v>
      </c>
    </row>
    <row r="768" spans="1:9" x14ac:dyDescent="0.25">
      <c r="A768">
        <v>2000086088</v>
      </c>
      <c r="B768" t="s">
        <v>27</v>
      </c>
      <c r="C768" t="s">
        <v>12</v>
      </c>
      <c r="D768">
        <v>8.9499999999999993</v>
      </c>
      <c r="F768" s="3">
        <v>44131</v>
      </c>
      <c r="G768" s="2" t="str">
        <f t="shared" si="33"/>
        <v>October</v>
      </c>
      <c r="H768" s="2" t="str">
        <f t="shared" si="34"/>
        <v>Week 5</v>
      </c>
      <c r="I768" s="2" t="str">
        <f t="shared" si="35"/>
        <v>Quarter 4</v>
      </c>
    </row>
    <row r="769" spans="1:9" x14ac:dyDescent="0.25">
      <c r="A769">
        <v>2000086089</v>
      </c>
      <c r="B769" t="s">
        <v>27</v>
      </c>
      <c r="C769" t="s">
        <v>12</v>
      </c>
      <c r="D769">
        <v>24.55</v>
      </c>
      <c r="F769" s="3">
        <v>44131</v>
      </c>
      <c r="G769" s="2" t="str">
        <f t="shared" si="33"/>
        <v>October</v>
      </c>
      <c r="H769" s="2" t="str">
        <f t="shared" si="34"/>
        <v>Week 5</v>
      </c>
      <c r="I769" s="2" t="str">
        <f t="shared" si="35"/>
        <v>Quarter 4</v>
      </c>
    </row>
    <row r="770" spans="1:9" x14ac:dyDescent="0.25">
      <c r="A770">
        <v>2000086090</v>
      </c>
      <c r="B770" t="s">
        <v>27</v>
      </c>
      <c r="C770" t="s">
        <v>12</v>
      </c>
      <c r="D770">
        <v>5.6</v>
      </c>
      <c r="F770" s="3">
        <v>44131</v>
      </c>
      <c r="G770" s="2" t="str">
        <f t="shared" si="33"/>
        <v>October</v>
      </c>
      <c r="H770" s="2" t="str">
        <f t="shared" si="34"/>
        <v>Week 5</v>
      </c>
      <c r="I770" s="2" t="str">
        <f t="shared" si="35"/>
        <v>Quarter 4</v>
      </c>
    </row>
    <row r="771" spans="1:9" x14ac:dyDescent="0.25">
      <c r="A771">
        <v>2000086091</v>
      </c>
      <c r="B771" t="s">
        <v>27</v>
      </c>
      <c r="C771" t="s">
        <v>12</v>
      </c>
      <c r="D771">
        <v>100</v>
      </c>
      <c r="F771" s="3">
        <v>44131</v>
      </c>
      <c r="G771" s="2" t="str">
        <f t="shared" ref="G771:G834" si="36">TEXT(F771,"mmmm")</f>
        <v>October</v>
      </c>
      <c r="H771" s="2" t="str">
        <f t="shared" ref="H771:H834" si="37">"Week "&amp;((WEEKNUM(F771)-WEEKNUM(DATE(YEAR(F771),MONTH(F771),1))+1))</f>
        <v>Week 5</v>
      </c>
      <c r="I771" s="2" t="str">
        <f t="shared" ref="I771:I834" si="38">"Quarter " &amp; ROUNDUP((MONTH(F771))/3,0)</f>
        <v>Quarter 4</v>
      </c>
    </row>
    <row r="772" spans="1:9" x14ac:dyDescent="0.25">
      <c r="A772">
        <v>2000086092</v>
      </c>
      <c r="B772" t="s">
        <v>27</v>
      </c>
      <c r="C772" t="s">
        <v>12</v>
      </c>
      <c r="D772">
        <v>8.9499999999999993</v>
      </c>
      <c r="F772" s="3">
        <v>44131</v>
      </c>
      <c r="G772" s="2" t="str">
        <f t="shared" si="36"/>
        <v>October</v>
      </c>
      <c r="H772" s="2" t="str">
        <f t="shared" si="37"/>
        <v>Week 5</v>
      </c>
      <c r="I772" s="2" t="str">
        <f t="shared" si="38"/>
        <v>Quarter 4</v>
      </c>
    </row>
    <row r="773" spans="1:9" x14ac:dyDescent="0.25">
      <c r="A773">
        <v>2000086093</v>
      </c>
      <c r="B773" t="s">
        <v>27</v>
      </c>
      <c r="C773" t="s">
        <v>12</v>
      </c>
      <c r="D773">
        <v>23.45</v>
      </c>
      <c r="F773" s="3">
        <v>44131</v>
      </c>
      <c r="G773" s="2" t="str">
        <f t="shared" si="36"/>
        <v>October</v>
      </c>
      <c r="H773" s="2" t="str">
        <f t="shared" si="37"/>
        <v>Week 5</v>
      </c>
      <c r="I773" s="2" t="str">
        <f t="shared" si="38"/>
        <v>Quarter 4</v>
      </c>
    </row>
    <row r="774" spans="1:9" x14ac:dyDescent="0.25">
      <c r="A774">
        <v>2000086094</v>
      </c>
      <c r="B774" t="s">
        <v>27</v>
      </c>
      <c r="C774" t="s">
        <v>12</v>
      </c>
      <c r="D774">
        <v>7227.5</v>
      </c>
      <c r="F774" s="3">
        <v>44131</v>
      </c>
      <c r="G774" s="2" t="str">
        <f t="shared" si="36"/>
        <v>October</v>
      </c>
      <c r="H774" s="2" t="str">
        <f t="shared" si="37"/>
        <v>Week 5</v>
      </c>
      <c r="I774" s="2" t="str">
        <f t="shared" si="38"/>
        <v>Quarter 4</v>
      </c>
    </row>
    <row r="775" spans="1:9" x14ac:dyDescent="0.25">
      <c r="A775">
        <v>2000086095</v>
      </c>
      <c r="B775" t="s">
        <v>27</v>
      </c>
      <c r="C775" t="s">
        <v>12</v>
      </c>
      <c r="D775">
        <v>15.6</v>
      </c>
      <c r="F775" s="3">
        <v>44131</v>
      </c>
      <c r="G775" s="2" t="str">
        <f t="shared" si="36"/>
        <v>October</v>
      </c>
      <c r="H775" s="2" t="str">
        <f t="shared" si="37"/>
        <v>Week 5</v>
      </c>
      <c r="I775" s="2" t="str">
        <f t="shared" si="38"/>
        <v>Quarter 4</v>
      </c>
    </row>
    <row r="776" spans="1:9" x14ac:dyDescent="0.25">
      <c r="A776">
        <v>2000086416</v>
      </c>
      <c r="B776" t="s">
        <v>27</v>
      </c>
      <c r="C776" t="s">
        <v>12</v>
      </c>
      <c r="D776">
        <v>22</v>
      </c>
      <c r="F776" s="3">
        <v>44131</v>
      </c>
      <c r="G776" s="2" t="str">
        <f t="shared" si="36"/>
        <v>October</v>
      </c>
      <c r="H776" s="2" t="str">
        <f t="shared" si="37"/>
        <v>Week 5</v>
      </c>
      <c r="I776" s="2" t="str">
        <f t="shared" si="38"/>
        <v>Quarter 4</v>
      </c>
    </row>
    <row r="777" spans="1:9" x14ac:dyDescent="0.25">
      <c r="A777">
        <v>2000086096</v>
      </c>
      <c r="B777" t="s">
        <v>27</v>
      </c>
      <c r="C777" t="s">
        <v>12</v>
      </c>
      <c r="D777">
        <v>15.4</v>
      </c>
      <c r="F777" s="3">
        <v>44131</v>
      </c>
      <c r="G777" s="2" t="str">
        <f t="shared" si="36"/>
        <v>October</v>
      </c>
      <c r="H777" s="2" t="str">
        <f t="shared" si="37"/>
        <v>Week 5</v>
      </c>
      <c r="I777" s="2" t="str">
        <f t="shared" si="38"/>
        <v>Quarter 4</v>
      </c>
    </row>
    <row r="778" spans="1:9" x14ac:dyDescent="0.25">
      <c r="A778">
        <v>2000086097</v>
      </c>
      <c r="B778" t="s">
        <v>27</v>
      </c>
      <c r="C778" t="s">
        <v>12</v>
      </c>
      <c r="D778">
        <v>1303.7</v>
      </c>
      <c r="F778" s="3">
        <v>44131</v>
      </c>
      <c r="G778" s="2" t="str">
        <f t="shared" si="36"/>
        <v>October</v>
      </c>
      <c r="H778" s="2" t="str">
        <f t="shared" si="37"/>
        <v>Week 5</v>
      </c>
      <c r="I778" s="2" t="str">
        <f t="shared" si="38"/>
        <v>Quarter 4</v>
      </c>
    </row>
    <row r="779" spans="1:9" x14ac:dyDescent="0.25">
      <c r="A779">
        <v>2000086098</v>
      </c>
      <c r="B779" t="s">
        <v>27</v>
      </c>
      <c r="C779" t="s">
        <v>12</v>
      </c>
      <c r="D779">
        <v>5.3</v>
      </c>
      <c r="F779" s="3">
        <v>44131</v>
      </c>
      <c r="G779" s="2" t="str">
        <f t="shared" si="36"/>
        <v>October</v>
      </c>
      <c r="H779" s="2" t="str">
        <f t="shared" si="37"/>
        <v>Week 5</v>
      </c>
      <c r="I779" s="2" t="str">
        <f t="shared" si="38"/>
        <v>Quarter 4</v>
      </c>
    </row>
    <row r="780" spans="1:9" x14ac:dyDescent="0.25">
      <c r="A780">
        <v>2000086099</v>
      </c>
      <c r="B780" t="s">
        <v>27</v>
      </c>
      <c r="C780" t="s">
        <v>12</v>
      </c>
      <c r="D780">
        <v>8.15</v>
      </c>
      <c r="F780" s="3">
        <v>44131</v>
      </c>
      <c r="G780" s="2" t="str">
        <f t="shared" si="36"/>
        <v>October</v>
      </c>
      <c r="H780" s="2" t="str">
        <f t="shared" si="37"/>
        <v>Week 5</v>
      </c>
      <c r="I780" s="2" t="str">
        <f t="shared" si="38"/>
        <v>Quarter 4</v>
      </c>
    </row>
    <row r="781" spans="1:9" x14ac:dyDescent="0.25">
      <c r="A781">
        <v>2000086123</v>
      </c>
      <c r="B781" t="s">
        <v>27</v>
      </c>
      <c r="C781" t="s">
        <v>12</v>
      </c>
      <c r="D781">
        <v>23.45</v>
      </c>
      <c r="F781" s="3">
        <v>44131</v>
      </c>
      <c r="G781" s="2" t="str">
        <f t="shared" si="36"/>
        <v>October</v>
      </c>
      <c r="H781" s="2" t="str">
        <f t="shared" si="37"/>
        <v>Week 5</v>
      </c>
      <c r="I781" s="2" t="str">
        <f t="shared" si="38"/>
        <v>Quarter 4</v>
      </c>
    </row>
    <row r="782" spans="1:9" x14ac:dyDescent="0.25">
      <c r="A782">
        <v>2000086106</v>
      </c>
      <c r="B782" t="s">
        <v>27</v>
      </c>
      <c r="C782" t="s">
        <v>18</v>
      </c>
      <c r="D782">
        <v>83.95</v>
      </c>
      <c r="F782" s="3">
        <v>44131</v>
      </c>
      <c r="G782" s="2" t="str">
        <f t="shared" si="36"/>
        <v>October</v>
      </c>
      <c r="H782" s="2" t="str">
        <f t="shared" si="37"/>
        <v>Week 5</v>
      </c>
      <c r="I782" s="2" t="str">
        <f t="shared" si="38"/>
        <v>Quarter 4</v>
      </c>
    </row>
    <row r="783" spans="1:9" x14ac:dyDescent="0.25">
      <c r="A783">
        <v>2000086127</v>
      </c>
      <c r="B783" t="s">
        <v>27</v>
      </c>
      <c r="C783" t="s">
        <v>12</v>
      </c>
      <c r="D783">
        <v>7.8</v>
      </c>
      <c r="F783" s="3">
        <v>44131</v>
      </c>
      <c r="G783" s="2" t="str">
        <f t="shared" si="36"/>
        <v>October</v>
      </c>
      <c r="H783" s="2" t="str">
        <f t="shared" si="37"/>
        <v>Week 5</v>
      </c>
      <c r="I783" s="2" t="str">
        <f t="shared" si="38"/>
        <v>Quarter 4</v>
      </c>
    </row>
    <row r="784" spans="1:9" x14ac:dyDescent="0.25">
      <c r="A784">
        <v>2000086130</v>
      </c>
      <c r="B784" t="s">
        <v>27</v>
      </c>
      <c r="C784" t="s">
        <v>12</v>
      </c>
      <c r="D784">
        <v>24.55</v>
      </c>
      <c r="F784" s="3">
        <v>44131</v>
      </c>
      <c r="G784" s="2" t="str">
        <f t="shared" si="36"/>
        <v>October</v>
      </c>
      <c r="H784" s="2" t="str">
        <f t="shared" si="37"/>
        <v>Week 5</v>
      </c>
      <c r="I784" s="2" t="str">
        <f t="shared" si="38"/>
        <v>Quarter 4</v>
      </c>
    </row>
    <row r="785" spans="1:9" x14ac:dyDescent="0.25">
      <c r="A785">
        <v>2000086132</v>
      </c>
      <c r="B785" t="s">
        <v>27</v>
      </c>
      <c r="C785" t="s">
        <v>12</v>
      </c>
      <c r="D785">
        <v>7.8</v>
      </c>
      <c r="F785" s="3">
        <v>44131</v>
      </c>
      <c r="G785" s="2" t="str">
        <f t="shared" si="36"/>
        <v>October</v>
      </c>
      <c r="H785" s="2" t="str">
        <f t="shared" si="37"/>
        <v>Week 5</v>
      </c>
      <c r="I785" s="2" t="str">
        <f t="shared" si="38"/>
        <v>Quarter 4</v>
      </c>
    </row>
    <row r="786" spans="1:9" x14ac:dyDescent="0.25">
      <c r="A786">
        <v>2000086134</v>
      </c>
      <c r="B786" t="s">
        <v>27</v>
      </c>
      <c r="C786" t="s">
        <v>12</v>
      </c>
      <c r="D786">
        <v>13.25</v>
      </c>
      <c r="F786" s="3">
        <v>44131</v>
      </c>
      <c r="G786" s="2" t="str">
        <f t="shared" si="36"/>
        <v>October</v>
      </c>
      <c r="H786" s="2" t="str">
        <f t="shared" si="37"/>
        <v>Week 5</v>
      </c>
      <c r="I786" s="2" t="str">
        <f t="shared" si="38"/>
        <v>Quarter 4</v>
      </c>
    </row>
    <row r="787" spans="1:9" x14ac:dyDescent="0.25">
      <c r="A787">
        <v>2000086144</v>
      </c>
      <c r="B787" t="s">
        <v>27</v>
      </c>
      <c r="C787" t="s">
        <v>12</v>
      </c>
      <c r="D787">
        <v>15.6</v>
      </c>
      <c r="F787" s="3">
        <v>44131</v>
      </c>
      <c r="G787" s="2" t="str">
        <f t="shared" si="36"/>
        <v>October</v>
      </c>
      <c r="H787" s="2" t="str">
        <f t="shared" si="37"/>
        <v>Week 5</v>
      </c>
      <c r="I787" s="2" t="str">
        <f t="shared" si="38"/>
        <v>Quarter 4</v>
      </c>
    </row>
    <row r="788" spans="1:9" x14ac:dyDescent="0.25">
      <c r="A788">
        <v>2000086115</v>
      </c>
      <c r="B788" t="s">
        <v>27</v>
      </c>
      <c r="C788" t="s">
        <v>18</v>
      </c>
      <c r="D788">
        <v>38.799999999999997</v>
      </c>
      <c r="F788" s="3">
        <v>44131</v>
      </c>
      <c r="G788" s="2" t="str">
        <f t="shared" si="36"/>
        <v>October</v>
      </c>
      <c r="H788" s="2" t="str">
        <f t="shared" si="37"/>
        <v>Week 5</v>
      </c>
      <c r="I788" s="2" t="str">
        <f t="shared" si="38"/>
        <v>Quarter 4</v>
      </c>
    </row>
    <row r="789" spans="1:9" x14ac:dyDescent="0.25">
      <c r="A789">
        <v>2000086146</v>
      </c>
      <c r="B789" t="s">
        <v>27</v>
      </c>
      <c r="C789" t="s">
        <v>12</v>
      </c>
      <c r="D789">
        <v>23.3</v>
      </c>
      <c r="F789" s="3">
        <v>44131</v>
      </c>
      <c r="G789" s="2" t="str">
        <f t="shared" si="36"/>
        <v>October</v>
      </c>
      <c r="H789" s="2" t="str">
        <f t="shared" si="37"/>
        <v>Week 5</v>
      </c>
      <c r="I789" s="2" t="str">
        <f t="shared" si="38"/>
        <v>Quarter 4</v>
      </c>
    </row>
    <row r="790" spans="1:9" x14ac:dyDescent="0.25">
      <c r="A790">
        <v>2000086148</v>
      </c>
      <c r="B790" t="s">
        <v>27</v>
      </c>
      <c r="C790" t="s">
        <v>12</v>
      </c>
      <c r="D790">
        <v>5.3</v>
      </c>
      <c r="F790" s="3">
        <v>44131</v>
      </c>
      <c r="G790" s="2" t="str">
        <f t="shared" si="36"/>
        <v>October</v>
      </c>
      <c r="H790" s="2" t="str">
        <f t="shared" si="37"/>
        <v>Week 5</v>
      </c>
      <c r="I790" s="2" t="str">
        <f t="shared" si="38"/>
        <v>Quarter 4</v>
      </c>
    </row>
    <row r="791" spans="1:9" x14ac:dyDescent="0.25">
      <c r="A791">
        <v>2000086150</v>
      </c>
      <c r="B791" t="s">
        <v>27</v>
      </c>
      <c r="C791" t="s">
        <v>12</v>
      </c>
      <c r="D791">
        <v>18.25</v>
      </c>
      <c r="F791" s="3">
        <v>44131</v>
      </c>
      <c r="G791" s="2" t="str">
        <f t="shared" si="36"/>
        <v>October</v>
      </c>
      <c r="H791" s="2" t="str">
        <f t="shared" si="37"/>
        <v>Week 5</v>
      </c>
      <c r="I791" s="2" t="str">
        <f t="shared" si="38"/>
        <v>Quarter 4</v>
      </c>
    </row>
    <row r="792" spans="1:9" x14ac:dyDescent="0.25">
      <c r="A792">
        <v>2000086154</v>
      </c>
      <c r="B792" t="s">
        <v>27</v>
      </c>
      <c r="C792" t="s">
        <v>12</v>
      </c>
      <c r="D792">
        <v>18.95</v>
      </c>
      <c r="F792" s="3">
        <v>44131</v>
      </c>
      <c r="G792" s="2" t="str">
        <f t="shared" si="36"/>
        <v>October</v>
      </c>
      <c r="H792" s="2" t="str">
        <f t="shared" si="37"/>
        <v>Week 5</v>
      </c>
      <c r="I792" s="2" t="str">
        <f t="shared" si="38"/>
        <v>Quarter 4</v>
      </c>
    </row>
    <row r="793" spans="1:9" x14ac:dyDescent="0.25">
      <c r="A793">
        <v>2000086124</v>
      </c>
      <c r="B793" t="s">
        <v>27</v>
      </c>
      <c r="C793" t="s">
        <v>18</v>
      </c>
      <c r="D793">
        <v>37.450000000000003</v>
      </c>
      <c r="F793" s="3">
        <v>44131</v>
      </c>
      <c r="G793" s="2" t="str">
        <f t="shared" si="36"/>
        <v>October</v>
      </c>
      <c r="H793" s="2" t="str">
        <f t="shared" si="37"/>
        <v>Week 5</v>
      </c>
      <c r="I793" s="2" t="str">
        <f t="shared" si="38"/>
        <v>Quarter 4</v>
      </c>
    </row>
    <row r="794" spans="1:9" x14ac:dyDescent="0.25">
      <c r="A794">
        <v>2000086155</v>
      </c>
      <c r="B794" t="s">
        <v>27</v>
      </c>
      <c r="C794" t="s">
        <v>12</v>
      </c>
      <c r="D794">
        <v>22.55</v>
      </c>
      <c r="F794" s="3">
        <v>44131</v>
      </c>
      <c r="G794" s="2" t="str">
        <f t="shared" si="36"/>
        <v>October</v>
      </c>
      <c r="H794" s="2" t="str">
        <f t="shared" si="37"/>
        <v>Week 5</v>
      </c>
      <c r="I794" s="2" t="str">
        <f t="shared" si="38"/>
        <v>Quarter 4</v>
      </c>
    </row>
    <row r="795" spans="1:9" x14ac:dyDescent="0.25">
      <c r="A795">
        <v>2000086104</v>
      </c>
      <c r="B795" t="s">
        <v>27</v>
      </c>
      <c r="C795" t="s">
        <v>18</v>
      </c>
      <c r="D795">
        <v>399.65</v>
      </c>
      <c r="F795" s="3">
        <v>44131</v>
      </c>
      <c r="G795" s="2" t="str">
        <f t="shared" si="36"/>
        <v>October</v>
      </c>
      <c r="H795" s="2" t="str">
        <f t="shared" si="37"/>
        <v>Week 5</v>
      </c>
      <c r="I795" s="2" t="str">
        <f t="shared" si="38"/>
        <v>Quarter 4</v>
      </c>
    </row>
    <row r="796" spans="1:9" x14ac:dyDescent="0.25">
      <c r="A796">
        <v>2000086103</v>
      </c>
      <c r="B796" t="s">
        <v>27</v>
      </c>
      <c r="C796" t="s">
        <v>18</v>
      </c>
      <c r="D796">
        <v>1812</v>
      </c>
      <c r="F796" s="3">
        <v>44131</v>
      </c>
      <c r="G796" s="2" t="str">
        <f t="shared" si="36"/>
        <v>October</v>
      </c>
      <c r="H796" s="2" t="str">
        <f t="shared" si="37"/>
        <v>Week 5</v>
      </c>
      <c r="I796" s="2" t="str">
        <f t="shared" si="38"/>
        <v>Quarter 4</v>
      </c>
    </row>
    <row r="797" spans="1:9" x14ac:dyDescent="0.25">
      <c r="A797">
        <v>2000086162</v>
      </c>
      <c r="B797" t="s">
        <v>27</v>
      </c>
      <c r="C797" t="s">
        <v>12</v>
      </c>
      <c r="D797">
        <v>7.7</v>
      </c>
      <c r="F797" s="3">
        <v>44131</v>
      </c>
      <c r="G797" s="2" t="str">
        <f t="shared" si="36"/>
        <v>October</v>
      </c>
      <c r="H797" s="2" t="str">
        <f t="shared" si="37"/>
        <v>Week 5</v>
      </c>
      <c r="I797" s="2" t="str">
        <f t="shared" si="38"/>
        <v>Quarter 4</v>
      </c>
    </row>
    <row r="798" spans="1:9" x14ac:dyDescent="0.25">
      <c r="A798">
        <v>2000086163</v>
      </c>
      <c r="B798" t="s">
        <v>27</v>
      </c>
      <c r="C798" t="s">
        <v>12</v>
      </c>
      <c r="D798">
        <v>6.7</v>
      </c>
      <c r="F798" s="3">
        <v>44131</v>
      </c>
      <c r="G798" s="2" t="str">
        <f t="shared" si="36"/>
        <v>October</v>
      </c>
      <c r="H798" s="2" t="str">
        <f t="shared" si="37"/>
        <v>Week 5</v>
      </c>
      <c r="I798" s="2" t="str">
        <f t="shared" si="38"/>
        <v>Quarter 4</v>
      </c>
    </row>
    <row r="799" spans="1:9" x14ac:dyDescent="0.25">
      <c r="A799">
        <v>2000086165</v>
      </c>
      <c r="B799" t="s">
        <v>27</v>
      </c>
      <c r="C799" t="s">
        <v>12</v>
      </c>
      <c r="D799">
        <v>15.65</v>
      </c>
      <c r="F799" s="3">
        <v>44131</v>
      </c>
      <c r="G799" s="2" t="str">
        <f t="shared" si="36"/>
        <v>October</v>
      </c>
      <c r="H799" s="2" t="str">
        <f t="shared" si="37"/>
        <v>Week 5</v>
      </c>
      <c r="I799" s="2" t="str">
        <f t="shared" si="38"/>
        <v>Quarter 4</v>
      </c>
    </row>
    <row r="800" spans="1:9" x14ac:dyDescent="0.25">
      <c r="A800">
        <v>2000086166</v>
      </c>
      <c r="B800" t="s">
        <v>27</v>
      </c>
      <c r="C800" t="s">
        <v>12</v>
      </c>
      <c r="D800">
        <v>15.65</v>
      </c>
      <c r="F800" s="3">
        <v>44131</v>
      </c>
      <c r="G800" s="2" t="str">
        <f t="shared" si="36"/>
        <v>October</v>
      </c>
      <c r="H800" s="2" t="str">
        <f t="shared" si="37"/>
        <v>Week 5</v>
      </c>
      <c r="I800" s="2" t="str">
        <f t="shared" si="38"/>
        <v>Quarter 4</v>
      </c>
    </row>
    <row r="801" spans="1:9" x14ac:dyDescent="0.25">
      <c r="A801">
        <v>2000086164</v>
      </c>
      <c r="B801" t="s">
        <v>27</v>
      </c>
      <c r="C801" t="s">
        <v>18</v>
      </c>
      <c r="D801">
        <v>23.2</v>
      </c>
      <c r="F801" s="3">
        <v>44131</v>
      </c>
      <c r="G801" s="2" t="str">
        <f t="shared" si="36"/>
        <v>October</v>
      </c>
      <c r="H801" s="2" t="str">
        <f t="shared" si="37"/>
        <v>Week 5</v>
      </c>
      <c r="I801" s="2" t="str">
        <f t="shared" si="38"/>
        <v>Quarter 4</v>
      </c>
    </row>
    <row r="802" spans="1:9" x14ac:dyDescent="0.25">
      <c r="A802">
        <v>2000086170</v>
      </c>
      <c r="B802" t="s">
        <v>27</v>
      </c>
      <c r="C802" t="s">
        <v>12</v>
      </c>
      <c r="D802">
        <v>5.6</v>
      </c>
      <c r="F802" s="3">
        <v>44131</v>
      </c>
      <c r="G802" s="2" t="str">
        <f t="shared" si="36"/>
        <v>October</v>
      </c>
      <c r="H802" s="2" t="str">
        <f t="shared" si="37"/>
        <v>Week 5</v>
      </c>
      <c r="I802" s="2" t="str">
        <f t="shared" si="38"/>
        <v>Quarter 4</v>
      </c>
    </row>
    <row r="803" spans="1:9" x14ac:dyDescent="0.25">
      <c r="A803">
        <v>2000086133</v>
      </c>
      <c r="B803" t="s">
        <v>27</v>
      </c>
      <c r="C803" t="s">
        <v>18</v>
      </c>
      <c r="D803">
        <v>33.799999999999997</v>
      </c>
      <c r="F803" s="3">
        <v>44131</v>
      </c>
      <c r="G803" s="2" t="str">
        <f t="shared" si="36"/>
        <v>October</v>
      </c>
      <c r="H803" s="2" t="str">
        <f t="shared" si="37"/>
        <v>Week 5</v>
      </c>
      <c r="I803" s="2" t="str">
        <f t="shared" si="38"/>
        <v>Quarter 4</v>
      </c>
    </row>
    <row r="804" spans="1:9" x14ac:dyDescent="0.25">
      <c r="A804">
        <v>2000086171</v>
      </c>
      <c r="B804" t="s">
        <v>27</v>
      </c>
      <c r="C804" t="s">
        <v>12</v>
      </c>
      <c r="D804">
        <v>5.6</v>
      </c>
      <c r="F804" s="3">
        <v>44131</v>
      </c>
      <c r="G804" s="2" t="str">
        <f t="shared" si="36"/>
        <v>October</v>
      </c>
      <c r="H804" s="2" t="str">
        <f t="shared" si="37"/>
        <v>Week 5</v>
      </c>
      <c r="I804" s="2" t="str">
        <f t="shared" si="38"/>
        <v>Quarter 4</v>
      </c>
    </row>
    <row r="805" spans="1:9" x14ac:dyDescent="0.25">
      <c r="A805">
        <v>2000086172</v>
      </c>
      <c r="B805" t="s">
        <v>27</v>
      </c>
      <c r="C805" t="s">
        <v>12</v>
      </c>
      <c r="D805">
        <v>17.899999999999999</v>
      </c>
      <c r="F805" s="3">
        <v>44131</v>
      </c>
      <c r="G805" s="2" t="str">
        <f t="shared" si="36"/>
        <v>October</v>
      </c>
      <c r="H805" s="2" t="str">
        <f t="shared" si="37"/>
        <v>Week 5</v>
      </c>
      <c r="I805" s="2" t="str">
        <f t="shared" si="38"/>
        <v>Quarter 4</v>
      </c>
    </row>
    <row r="806" spans="1:9" x14ac:dyDescent="0.25">
      <c r="A806">
        <v>2000086173</v>
      </c>
      <c r="B806" t="s">
        <v>27</v>
      </c>
      <c r="C806" t="s">
        <v>12</v>
      </c>
      <c r="D806">
        <v>7.8</v>
      </c>
      <c r="F806" s="3">
        <v>44131</v>
      </c>
      <c r="G806" s="2" t="str">
        <f t="shared" si="36"/>
        <v>October</v>
      </c>
      <c r="H806" s="2" t="str">
        <f t="shared" si="37"/>
        <v>Week 5</v>
      </c>
      <c r="I806" s="2" t="str">
        <f t="shared" si="38"/>
        <v>Quarter 4</v>
      </c>
    </row>
    <row r="807" spans="1:9" x14ac:dyDescent="0.25">
      <c r="A807">
        <v>2000086119</v>
      </c>
      <c r="B807" t="s">
        <v>27</v>
      </c>
      <c r="C807" t="s">
        <v>18</v>
      </c>
      <c r="D807">
        <v>38</v>
      </c>
      <c r="F807" s="3">
        <v>44131</v>
      </c>
      <c r="G807" s="2" t="str">
        <f t="shared" si="36"/>
        <v>October</v>
      </c>
      <c r="H807" s="2" t="str">
        <f t="shared" si="37"/>
        <v>Week 5</v>
      </c>
      <c r="I807" s="2" t="str">
        <f t="shared" si="38"/>
        <v>Quarter 4</v>
      </c>
    </row>
    <row r="808" spans="1:9" x14ac:dyDescent="0.25">
      <c r="A808">
        <v>2000086120</v>
      </c>
      <c r="B808" t="s">
        <v>27</v>
      </c>
      <c r="C808" t="s">
        <v>18</v>
      </c>
      <c r="D808">
        <v>31.6</v>
      </c>
      <c r="F808" s="3">
        <v>44131</v>
      </c>
      <c r="G808" s="2" t="str">
        <f t="shared" si="36"/>
        <v>October</v>
      </c>
      <c r="H808" s="2" t="str">
        <f t="shared" si="37"/>
        <v>Week 5</v>
      </c>
      <c r="I808" s="2" t="str">
        <f t="shared" si="38"/>
        <v>Quarter 4</v>
      </c>
    </row>
    <row r="809" spans="1:9" x14ac:dyDescent="0.25">
      <c r="A809">
        <v>2000086174</v>
      </c>
      <c r="B809" t="s">
        <v>27</v>
      </c>
      <c r="C809" t="s">
        <v>12</v>
      </c>
      <c r="D809">
        <v>7.8</v>
      </c>
      <c r="F809" s="3">
        <v>44131</v>
      </c>
      <c r="G809" s="2" t="str">
        <f t="shared" si="36"/>
        <v>October</v>
      </c>
      <c r="H809" s="2" t="str">
        <f t="shared" si="37"/>
        <v>Week 5</v>
      </c>
      <c r="I809" s="2" t="str">
        <f t="shared" si="38"/>
        <v>Quarter 4</v>
      </c>
    </row>
    <row r="810" spans="1:9" x14ac:dyDescent="0.25">
      <c r="A810">
        <v>2000086175</v>
      </c>
      <c r="B810" t="s">
        <v>27</v>
      </c>
      <c r="C810" t="s">
        <v>12</v>
      </c>
      <c r="D810">
        <v>5.2</v>
      </c>
      <c r="F810" s="3">
        <v>44131</v>
      </c>
      <c r="G810" s="2" t="str">
        <f t="shared" si="36"/>
        <v>October</v>
      </c>
      <c r="H810" s="2" t="str">
        <f t="shared" si="37"/>
        <v>Week 5</v>
      </c>
      <c r="I810" s="2" t="str">
        <f t="shared" si="38"/>
        <v>Quarter 4</v>
      </c>
    </row>
    <row r="811" spans="1:9" x14ac:dyDescent="0.25">
      <c r="A811">
        <v>2000086128</v>
      </c>
      <c r="B811" t="s">
        <v>27</v>
      </c>
      <c r="C811" t="s">
        <v>18</v>
      </c>
      <c r="D811">
        <v>35.700000000000003</v>
      </c>
      <c r="F811" s="3">
        <v>44131</v>
      </c>
      <c r="G811" s="2" t="str">
        <f t="shared" si="36"/>
        <v>October</v>
      </c>
      <c r="H811" s="2" t="str">
        <f t="shared" si="37"/>
        <v>Week 5</v>
      </c>
      <c r="I811" s="2" t="str">
        <f t="shared" si="38"/>
        <v>Quarter 4</v>
      </c>
    </row>
    <row r="812" spans="1:9" x14ac:dyDescent="0.25">
      <c r="A812">
        <v>2000086140</v>
      </c>
      <c r="B812" t="s">
        <v>27</v>
      </c>
      <c r="C812" t="s">
        <v>18</v>
      </c>
      <c r="D812">
        <v>30.2</v>
      </c>
      <c r="F812" s="3">
        <v>44131</v>
      </c>
      <c r="G812" s="2" t="str">
        <f t="shared" si="36"/>
        <v>October</v>
      </c>
      <c r="H812" s="2" t="str">
        <f t="shared" si="37"/>
        <v>Week 5</v>
      </c>
      <c r="I812" s="2" t="str">
        <f t="shared" si="38"/>
        <v>Quarter 4</v>
      </c>
    </row>
    <row r="813" spans="1:9" x14ac:dyDescent="0.25">
      <c r="A813">
        <v>2000086176</v>
      </c>
      <c r="B813" t="s">
        <v>27</v>
      </c>
      <c r="C813" t="s">
        <v>12</v>
      </c>
      <c r="D813">
        <v>7.8</v>
      </c>
      <c r="F813" s="3">
        <v>44131</v>
      </c>
      <c r="G813" s="2" t="str">
        <f t="shared" si="36"/>
        <v>October</v>
      </c>
      <c r="H813" s="2" t="str">
        <f t="shared" si="37"/>
        <v>Week 5</v>
      </c>
      <c r="I813" s="2" t="str">
        <f t="shared" si="38"/>
        <v>Quarter 4</v>
      </c>
    </row>
    <row r="814" spans="1:9" x14ac:dyDescent="0.25">
      <c r="A814">
        <v>2000086145</v>
      </c>
      <c r="B814" t="s">
        <v>27</v>
      </c>
      <c r="C814" t="s">
        <v>18</v>
      </c>
      <c r="D814">
        <v>26.65</v>
      </c>
      <c r="F814" s="3">
        <v>44131</v>
      </c>
      <c r="G814" s="2" t="str">
        <f t="shared" si="36"/>
        <v>October</v>
      </c>
      <c r="H814" s="2" t="str">
        <f t="shared" si="37"/>
        <v>Week 5</v>
      </c>
      <c r="I814" s="2" t="str">
        <f t="shared" si="38"/>
        <v>Quarter 4</v>
      </c>
    </row>
    <row r="815" spans="1:9" x14ac:dyDescent="0.25">
      <c r="A815">
        <v>2000086136</v>
      </c>
      <c r="B815" t="s">
        <v>27</v>
      </c>
      <c r="C815" t="s">
        <v>18</v>
      </c>
      <c r="D815">
        <v>33.65</v>
      </c>
      <c r="F815" s="3">
        <v>44131</v>
      </c>
      <c r="G815" s="2" t="str">
        <f t="shared" si="36"/>
        <v>October</v>
      </c>
      <c r="H815" s="2" t="str">
        <f t="shared" si="37"/>
        <v>Week 5</v>
      </c>
      <c r="I815" s="2" t="str">
        <f t="shared" si="38"/>
        <v>Quarter 4</v>
      </c>
    </row>
    <row r="816" spans="1:9" x14ac:dyDescent="0.25">
      <c r="A816">
        <v>2000086177</v>
      </c>
      <c r="B816" t="s">
        <v>27</v>
      </c>
      <c r="C816" t="s">
        <v>12</v>
      </c>
      <c r="D816">
        <v>11.2</v>
      </c>
      <c r="F816" s="3">
        <v>44131</v>
      </c>
      <c r="G816" s="2" t="str">
        <f t="shared" si="36"/>
        <v>October</v>
      </c>
      <c r="H816" s="2" t="str">
        <f t="shared" si="37"/>
        <v>Week 5</v>
      </c>
      <c r="I816" s="2" t="str">
        <f t="shared" si="38"/>
        <v>Quarter 4</v>
      </c>
    </row>
    <row r="817" spans="1:9" x14ac:dyDescent="0.25">
      <c r="A817">
        <v>2000086126</v>
      </c>
      <c r="B817" t="s">
        <v>27</v>
      </c>
      <c r="C817" t="s">
        <v>18</v>
      </c>
      <c r="D817">
        <v>36.4</v>
      </c>
      <c r="F817" s="3">
        <v>44131</v>
      </c>
      <c r="G817" s="2" t="str">
        <f t="shared" si="36"/>
        <v>October</v>
      </c>
      <c r="H817" s="2" t="str">
        <f t="shared" si="37"/>
        <v>Week 5</v>
      </c>
      <c r="I817" s="2" t="str">
        <f t="shared" si="38"/>
        <v>Quarter 4</v>
      </c>
    </row>
    <row r="818" spans="1:9" x14ac:dyDescent="0.25">
      <c r="A818">
        <v>2000086178</v>
      </c>
      <c r="B818" t="s">
        <v>27</v>
      </c>
      <c r="C818" t="s">
        <v>12</v>
      </c>
      <c r="D818">
        <v>7.8</v>
      </c>
      <c r="F818" s="3">
        <v>44131</v>
      </c>
      <c r="G818" s="2" t="str">
        <f t="shared" si="36"/>
        <v>October</v>
      </c>
      <c r="H818" s="2" t="str">
        <f t="shared" si="37"/>
        <v>Week 5</v>
      </c>
      <c r="I818" s="2" t="str">
        <f t="shared" si="38"/>
        <v>Quarter 4</v>
      </c>
    </row>
    <row r="819" spans="1:9" x14ac:dyDescent="0.25">
      <c r="A819">
        <v>2000086107</v>
      </c>
      <c r="B819" t="s">
        <v>27</v>
      </c>
      <c r="C819" t="s">
        <v>18</v>
      </c>
      <c r="D819">
        <v>53.95</v>
      </c>
      <c r="F819" s="3">
        <v>44131</v>
      </c>
      <c r="G819" s="2" t="str">
        <f t="shared" si="36"/>
        <v>October</v>
      </c>
      <c r="H819" s="2" t="str">
        <f t="shared" si="37"/>
        <v>Week 5</v>
      </c>
      <c r="I819" s="2" t="str">
        <f t="shared" si="38"/>
        <v>Quarter 4</v>
      </c>
    </row>
    <row r="820" spans="1:9" x14ac:dyDescent="0.25">
      <c r="A820">
        <v>2000086179</v>
      </c>
      <c r="B820" t="s">
        <v>27</v>
      </c>
      <c r="C820" t="s">
        <v>12</v>
      </c>
      <c r="D820">
        <v>7.7</v>
      </c>
      <c r="F820" s="3">
        <v>44131</v>
      </c>
      <c r="G820" s="2" t="str">
        <f t="shared" si="36"/>
        <v>October</v>
      </c>
      <c r="H820" s="2" t="str">
        <f t="shared" si="37"/>
        <v>Week 5</v>
      </c>
      <c r="I820" s="2" t="str">
        <f t="shared" si="38"/>
        <v>Quarter 4</v>
      </c>
    </row>
    <row r="821" spans="1:9" x14ac:dyDescent="0.25">
      <c r="A821">
        <v>2000086151</v>
      </c>
      <c r="B821" t="s">
        <v>27</v>
      </c>
      <c r="C821" t="s">
        <v>18</v>
      </c>
      <c r="D821">
        <v>24.6</v>
      </c>
      <c r="F821" s="3">
        <v>44131</v>
      </c>
      <c r="G821" s="2" t="str">
        <f t="shared" si="36"/>
        <v>October</v>
      </c>
      <c r="H821" s="2" t="str">
        <f t="shared" si="37"/>
        <v>Week 5</v>
      </c>
      <c r="I821" s="2" t="str">
        <f t="shared" si="38"/>
        <v>Quarter 4</v>
      </c>
    </row>
    <row r="822" spans="1:9" x14ac:dyDescent="0.25">
      <c r="A822">
        <v>2000086139</v>
      </c>
      <c r="B822" t="s">
        <v>27</v>
      </c>
      <c r="C822" t="s">
        <v>18</v>
      </c>
      <c r="D822">
        <v>30.45</v>
      </c>
      <c r="F822" s="3">
        <v>44131</v>
      </c>
      <c r="G822" s="2" t="str">
        <f t="shared" si="36"/>
        <v>October</v>
      </c>
      <c r="H822" s="2" t="str">
        <f t="shared" si="37"/>
        <v>Week 5</v>
      </c>
      <c r="I822" s="2" t="str">
        <f t="shared" si="38"/>
        <v>Quarter 4</v>
      </c>
    </row>
    <row r="823" spans="1:9" x14ac:dyDescent="0.25">
      <c r="A823">
        <v>2000086180</v>
      </c>
      <c r="B823" t="s">
        <v>27</v>
      </c>
      <c r="C823" t="s">
        <v>12</v>
      </c>
      <c r="D823">
        <v>15.65</v>
      </c>
      <c r="F823" s="3">
        <v>44131</v>
      </c>
      <c r="G823" s="2" t="str">
        <f t="shared" si="36"/>
        <v>October</v>
      </c>
      <c r="H823" s="2" t="str">
        <f t="shared" si="37"/>
        <v>Week 5</v>
      </c>
      <c r="I823" s="2" t="str">
        <f t="shared" si="38"/>
        <v>Quarter 4</v>
      </c>
    </row>
    <row r="824" spans="1:9" x14ac:dyDescent="0.25">
      <c r="A824">
        <v>2000086418</v>
      </c>
      <c r="B824" t="s">
        <v>27</v>
      </c>
      <c r="C824" t="s">
        <v>11</v>
      </c>
      <c r="D824">
        <v>1090.5</v>
      </c>
      <c r="F824" s="3">
        <v>44131</v>
      </c>
      <c r="G824" s="2" t="str">
        <f t="shared" si="36"/>
        <v>October</v>
      </c>
      <c r="H824" s="2" t="str">
        <f t="shared" si="37"/>
        <v>Week 5</v>
      </c>
      <c r="I824" s="2" t="str">
        <f t="shared" si="38"/>
        <v>Quarter 4</v>
      </c>
    </row>
    <row r="825" spans="1:9" x14ac:dyDescent="0.25">
      <c r="A825">
        <v>2000086651</v>
      </c>
      <c r="B825" t="s">
        <v>27</v>
      </c>
      <c r="C825" t="s">
        <v>11</v>
      </c>
      <c r="D825">
        <v>107.9</v>
      </c>
      <c r="F825" s="3">
        <v>44131</v>
      </c>
      <c r="G825" s="2" t="str">
        <f t="shared" si="36"/>
        <v>October</v>
      </c>
      <c r="H825" s="2" t="str">
        <f t="shared" si="37"/>
        <v>Week 5</v>
      </c>
      <c r="I825" s="2" t="str">
        <f t="shared" si="38"/>
        <v>Quarter 4</v>
      </c>
    </row>
    <row r="826" spans="1:9" x14ac:dyDescent="0.25">
      <c r="A826">
        <v>2000086110</v>
      </c>
      <c r="B826" t="s">
        <v>27</v>
      </c>
      <c r="C826" t="s">
        <v>18</v>
      </c>
      <c r="D826">
        <v>41.55</v>
      </c>
      <c r="F826" s="3">
        <v>44131</v>
      </c>
      <c r="G826" s="2" t="str">
        <f t="shared" si="36"/>
        <v>October</v>
      </c>
      <c r="H826" s="2" t="str">
        <f t="shared" si="37"/>
        <v>Week 5</v>
      </c>
      <c r="I826" s="2" t="str">
        <f t="shared" si="38"/>
        <v>Quarter 4</v>
      </c>
    </row>
    <row r="827" spans="1:9" x14ac:dyDescent="0.25">
      <c r="A827">
        <v>2000086181</v>
      </c>
      <c r="B827" t="s">
        <v>27</v>
      </c>
      <c r="C827" t="s">
        <v>12</v>
      </c>
      <c r="D827">
        <v>71.400000000000006</v>
      </c>
      <c r="F827" s="3">
        <v>44131</v>
      </c>
      <c r="G827" s="2" t="str">
        <f t="shared" si="36"/>
        <v>October</v>
      </c>
      <c r="H827" s="2" t="str">
        <f t="shared" si="37"/>
        <v>Week 5</v>
      </c>
      <c r="I827" s="2" t="str">
        <f t="shared" si="38"/>
        <v>Quarter 4</v>
      </c>
    </row>
    <row r="828" spans="1:9" x14ac:dyDescent="0.25">
      <c r="A828">
        <v>2000086129</v>
      </c>
      <c r="B828" t="s">
        <v>27</v>
      </c>
      <c r="C828" t="s">
        <v>18</v>
      </c>
      <c r="D828">
        <v>34.950000000000003</v>
      </c>
      <c r="F828" s="3">
        <v>44131</v>
      </c>
      <c r="G828" s="2" t="str">
        <f t="shared" si="36"/>
        <v>October</v>
      </c>
      <c r="H828" s="2" t="str">
        <f t="shared" si="37"/>
        <v>Week 5</v>
      </c>
      <c r="I828" s="2" t="str">
        <f t="shared" si="38"/>
        <v>Quarter 4</v>
      </c>
    </row>
    <row r="829" spans="1:9" x14ac:dyDescent="0.25">
      <c r="A829">
        <v>2000086153</v>
      </c>
      <c r="B829" t="s">
        <v>27</v>
      </c>
      <c r="C829" t="s">
        <v>18</v>
      </c>
      <c r="D829">
        <v>24.5</v>
      </c>
      <c r="F829" s="3">
        <v>44131</v>
      </c>
      <c r="G829" s="2" t="str">
        <f t="shared" si="36"/>
        <v>October</v>
      </c>
      <c r="H829" s="2" t="str">
        <f t="shared" si="37"/>
        <v>Week 5</v>
      </c>
      <c r="I829" s="2" t="str">
        <f t="shared" si="38"/>
        <v>Quarter 4</v>
      </c>
    </row>
    <row r="830" spans="1:9" x14ac:dyDescent="0.25">
      <c r="A830">
        <v>2000086147</v>
      </c>
      <c r="B830" t="s">
        <v>27</v>
      </c>
      <c r="C830" t="s">
        <v>18</v>
      </c>
      <c r="D830">
        <v>26.4</v>
      </c>
      <c r="F830" s="3">
        <v>44131</v>
      </c>
      <c r="G830" s="2" t="str">
        <f t="shared" si="36"/>
        <v>October</v>
      </c>
      <c r="H830" s="2" t="str">
        <f t="shared" si="37"/>
        <v>Week 5</v>
      </c>
      <c r="I830" s="2" t="str">
        <f t="shared" si="38"/>
        <v>Quarter 4</v>
      </c>
    </row>
    <row r="831" spans="1:9" x14ac:dyDescent="0.25">
      <c r="A831">
        <v>2000086182</v>
      </c>
      <c r="B831" t="s">
        <v>27</v>
      </c>
      <c r="C831" t="s">
        <v>12</v>
      </c>
      <c r="D831">
        <v>15.6</v>
      </c>
      <c r="F831" s="3">
        <v>44131</v>
      </c>
      <c r="G831" s="2" t="str">
        <f t="shared" si="36"/>
        <v>October</v>
      </c>
      <c r="H831" s="2" t="str">
        <f t="shared" si="37"/>
        <v>Week 5</v>
      </c>
      <c r="I831" s="2" t="str">
        <f t="shared" si="38"/>
        <v>Quarter 4</v>
      </c>
    </row>
    <row r="832" spans="1:9" x14ac:dyDescent="0.25">
      <c r="A832">
        <v>2000086183</v>
      </c>
      <c r="B832" t="s">
        <v>27</v>
      </c>
      <c r="C832" t="s">
        <v>12</v>
      </c>
      <c r="D832">
        <v>7.7</v>
      </c>
      <c r="F832" s="3">
        <v>44131</v>
      </c>
      <c r="G832" s="2" t="str">
        <f t="shared" si="36"/>
        <v>October</v>
      </c>
      <c r="H832" s="2" t="str">
        <f t="shared" si="37"/>
        <v>Week 5</v>
      </c>
      <c r="I832" s="2" t="str">
        <f t="shared" si="38"/>
        <v>Quarter 4</v>
      </c>
    </row>
    <row r="833" spans="1:9" x14ac:dyDescent="0.25">
      <c r="A833">
        <v>2000086108</v>
      </c>
      <c r="B833" t="s">
        <v>27</v>
      </c>
      <c r="C833" t="s">
        <v>18</v>
      </c>
      <c r="D833">
        <v>42.05</v>
      </c>
      <c r="F833" s="3">
        <v>44131</v>
      </c>
      <c r="G833" s="2" t="str">
        <f t="shared" si="36"/>
        <v>October</v>
      </c>
      <c r="H833" s="2" t="str">
        <f t="shared" si="37"/>
        <v>Week 5</v>
      </c>
      <c r="I833" s="2" t="str">
        <f t="shared" si="38"/>
        <v>Quarter 4</v>
      </c>
    </row>
    <row r="834" spans="1:9" x14ac:dyDescent="0.25">
      <c r="A834">
        <v>2000086121</v>
      </c>
      <c r="B834" t="s">
        <v>27</v>
      </c>
      <c r="C834" t="s">
        <v>18</v>
      </c>
      <c r="D834">
        <v>37.799999999999997</v>
      </c>
      <c r="F834" s="3">
        <v>44131</v>
      </c>
      <c r="G834" s="2" t="str">
        <f t="shared" si="36"/>
        <v>October</v>
      </c>
      <c r="H834" s="2" t="str">
        <f t="shared" si="37"/>
        <v>Week 5</v>
      </c>
      <c r="I834" s="2" t="str">
        <f t="shared" si="38"/>
        <v>Quarter 4</v>
      </c>
    </row>
    <row r="835" spans="1:9" x14ac:dyDescent="0.25">
      <c r="A835">
        <v>2000086184</v>
      </c>
      <c r="B835" t="s">
        <v>27</v>
      </c>
      <c r="C835" t="s">
        <v>12</v>
      </c>
      <c r="D835">
        <v>7.8</v>
      </c>
      <c r="F835" s="3">
        <v>44131</v>
      </c>
      <c r="G835" s="2" t="str">
        <f t="shared" ref="G835:G898" si="39">TEXT(F835,"mmmm")</f>
        <v>October</v>
      </c>
      <c r="H835" s="2" t="str">
        <f t="shared" ref="H835:H898" si="40">"Week "&amp;((WEEKNUM(F835)-WEEKNUM(DATE(YEAR(F835),MONTH(F835),1))+1))</f>
        <v>Week 5</v>
      </c>
      <c r="I835" s="2" t="str">
        <f t="shared" ref="I835:I898" si="41">"Quarter " &amp; ROUNDUP((MONTH(F835))/3,0)</f>
        <v>Quarter 4</v>
      </c>
    </row>
    <row r="836" spans="1:9" x14ac:dyDescent="0.25">
      <c r="A836">
        <v>2000086185</v>
      </c>
      <c r="B836" t="s">
        <v>27</v>
      </c>
      <c r="C836" t="s">
        <v>12</v>
      </c>
      <c r="D836">
        <v>12.7</v>
      </c>
      <c r="F836" s="3">
        <v>44131</v>
      </c>
      <c r="G836" s="2" t="str">
        <f t="shared" si="39"/>
        <v>October</v>
      </c>
      <c r="H836" s="2" t="str">
        <f t="shared" si="40"/>
        <v>Week 5</v>
      </c>
      <c r="I836" s="2" t="str">
        <f t="shared" si="41"/>
        <v>Quarter 4</v>
      </c>
    </row>
    <row r="837" spans="1:9" x14ac:dyDescent="0.25">
      <c r="A837">
        <v>2000086156</v>
      </c>
      <c r="B837" t="s">
        <v>27</v>
      </c>
      <c r="C837" t="s">
        <v>18</v>
      </c>
      <c r="D837">
        <v>15.65</v>
      </c>
      <c r="F837" s="3">
        <v>44131</v>
      </c>
      <c r="G837" s="2" t="str">
        <f t="shared" si="39"/>
        <v>October</v>
      </c>
      <c r="H837" s="2" t="str">
        <f t="shared" si="40"/>
        <v>Week 5</v>
      </c>
      <c r="I837" s="2" t="str">
        <f t="shared" si="41"/>
        <v>Quarter 4</v>
      </c>
    </row>
    <row r="838" spans="1:9" x14ac:dyDescent="0.25">
      <c r="A838">
        <v>2000086157</v>
      </c>
      <c r="B838" t="s">
        <v>27</v>
      </c>
      <c r="C838" t="s">
        <v>18</v>
      </c>
      <c r="D838">
        <v>7.8</v>
      </c>
      <c r="F838" s="3">
        <v>44131</v>
      </c>
      <c r="G838" s="2" t="str">
        <f t="shared" si="39"/>
        <v>October</v>
      </c>
      <c r="H838" s="2" t="str">
        <f t="shared" si="40"/>
        <v>Week 5</v>
      </c>
      <c r="I838" s="2" t="str">
        <f t="shared" si="41"/>
        <v>Quarter 4</v>
      </c>
    </row>
    <row r="839" spans="1:9" x14ac:dyDescent="0.25">
      <c r="A839">
        <v>2000086158</v>
      </c>
      <c r="B839" t="s">
        <v>27</v>
      </c>
      <c r="C839" t="s">
        <v>18</v>
      </c>
      <c r="D839">
        <v>23.45</v>
      </c>
      <c r="F839" s="3">
        <v>44131</v>
      </c>
      <c r="G839" s="2" t="str">
        <f t="shared" si="39"/>
        <v>October</v>
      </c>
      <c r="H839" s="2" t="str">
        <f t="shared" si="40"/>
        <v>Week 5</v>
      </c>
      <c r="I839" s="2" t="str">
        <f t="shared" si="41"/>
        <v>Quarter 4</v>
      </c>
    </row>
    <row r="840" spans="1:9" x14ac:dyDescent="0.25">
      <c r="A840">
        <v>2000086186</v>
      </c>
      <c r="B840" t="s">
        <v>27</v>
      </c>
      <c r="C840" t="s">
        <v>12</v>
      </c>
      <c r="D840">
        <v>93.6</v>
      </c>
      <c r="F840" s="3">
        <v>44131</v>
      </c>
      <c r="G840" s="2" t="str">
        <f t="shared" si="39"/>
        <v>October</v>
      </c>
      <c r="H840" s="2" t="str">
        <f t="shared" si="40"/>
        <v>Week 5</v>
      </c>
      <c r="I840" s="2" t="str">
        <f t="shared" si="41"/>
        <v>Quarter 4</v>
      </c>
    </row>
    <row r="841" spans="1:9" x14ac:dyDescent="0.25">
      <c r="A841">
        <v>2000086187</v>
      </c>
      <c r="B841" t="s">
        <v>27</v>
      </c>
      <c r="C841" t="s">
        <v>12</v>
      </c>
      <c r="D841">
        <v>13.2</v>
      </c>
      <c r="F841" s="3">
        <v>44131</v>
      </c>
      <c r="G841" s="2" t="str">
        <f t="shared" si="39"/>
        <v>October</v>
      </c>
      <c r="H841" s="2" t="str">
        <f t="shared" si="40"/>
        <v>Week 5</v>
      </c>
      <c r="I841" s="2" t="str">
        <f t="shared" si="41"/>
        <v>Quarter 4</v>
      </c>
    </row>
    <row r="842" spans="1:9" x14ac:dyDescent="0.25">
      <c r="A842">
        <v>2000086188</v>
      </c>
      <c r="B842" t="s">
        <v>27</v>
      </c>
      <c r="C842" t="s">
        <v>12</v>
      </c>
      <c r="D842">
        <v>7.8</v>
      </c>
      <c r="F842" s="3">
        <v>44131</v>
      </c>
      <c r="G842" s="2" t="str">
        <f t="shared" si="39"/>
        <v>October</v>
      </c>
      <c r="H842" s="2" t="str">
        <f t="shared" si="40"/>
        <v>Week 5</v>
      </c>
      <c r="I842" s="2" t="str">
        <f t="shared" si="41"/>
        <v>Quarter 4</v>
      </c>
    </row>
    <row r="843" spans="1:9" x14ac:dyDescent="0.25">
      <c r="A843">
        <v>2000086189</v>
      </c>
      <c r="B843" t="s">
        <v>27</v>
      </c>
      <c r="C843" t="s">
        <v>12</v>
      </c>
      <c r="D843">
        <v>7.8</v>
      </c>
      <c r="F843" s="3">
        <v>44131</v>
      </c>
      <c r="G843" s="2" t="str">
        <f t="shared" si="39"/>
        <v>October</v>
      </c>
      <c r="H843" s="2" t="str">
        <f t="shared" si="40"/>
        <v>Week 5</v>
      </c>
      <c r="I843" s="2" t="str">
        <f t="shared" si="41"/>
        <v>Quarter 4</v>
      </c>
    </row>
    <row r="844" spans="1:9" x14ac:dyDescent="0.25">
      <c r="A844">
        <v>2000086190</v>
      </c>
      <c r="B844" t="s">
        <v>27</v>
      </c>
      <c r="C844" t="s">
        <v>12</v>
      </c>
      <c r="D844">
        <v>9</v>
      </c>
      <c r="F844" s="3">
        <v>44131</v>
      </c>
      <c r="G844" s="2" t="str">
        <f t="shared" si="39"/>
        <v>October</v>
      </c>
      <c r="H844" s="2" t="str">
        <f t="shared" si="40"/>
        <v>Week 5</v>
      </c>
      <c r="I844" s="2" t="str">
        <f t="shared" si="41"/>
        <v>Quarter 4</v>
      </c>
    </row>
    <row r="845" spans="1:9" x14ac:dyDescent="0.25">
      <c r="A845">
        <v>2000086191</v>
      </c>
      <c r="B845" t="s">
        <v>27</v>
      </c>
      <c r="C845" t="s">
        <v>12</v>
      </c>
      <c r="D845">
        <v>12.25</v>
      </c>
      <c r="F845" s="3">
        <v>44131</v>
      </c>
      <c r="G845" s="2" t="str">
        <f t="shared" si="39"/>
        <v>October</v>
      </c>
      <c r="H845" s="2" t="str">
        <f t="shared" si="40"/>
        <v>Week 5</v>
      </c>
      <c r="I845" s="2" t="str">
        <f t="shared" si="41"/>
        <v>Quarter 4</v>
      </c>
    </row>
    <row r="846" spans="1:9" x14ac:dyDescent="0.25">
      <c r="A846">
        <v>2000086192</v>
      </c>
      <c r="B846" t="s">
        <v>27</v>
      </c>
      <c r="C846" t="s">
        <v>12</v>
      </c>
      <c r="D846">
        <v>7.55</v>
      </c>
      <c r="F846" s="3">
        <v>44131</v>
      </c>
      <c r="G846" s="2" t="str">
        <f t="shared" si="39"/>
        <v>October</v>
      </c>
      <c r="H846" s="2" t="str">
        <f t="shared" si="40"/>
        <v>Week 5</v>
      </c>
      <c r="I846" s="2" t="str">
        <f t="shared" si="41"/>
        <v>Quarter 4</v>
      </c>
    </row>
    <row r="847" spans="1:9" x14ac:dyDescent="0.25">
      <c r="A847">
        <v>2000086114</v>
      </c>
      <c r="B847" t="s">
        <v>27</v>
      </c>
      <c r="C847" t="s">
        <v>18</v>
      </c>
      <c r="D847">
        <v>39.1</v>
      </c>
      <c r="F847" s="3">
        <v>44131</v>
      </c>
      <c r="G847" s="2" t="str">
        <f t="shared" si="39"/>
        <v>October</v>
      </c>
      <c r="H847" s="2" t="str">
        <f t="shared" si="40"/>
        <v>Week 5</v>
      </c>
      <c r="I847" s="2" t="str">
        <f t="shared" si="41"/>
        <v>Quarter 4</v>
      </c>
    </row>
    <row r="848" spans="1:9" x14ac:dyDescent="0.25">
      <c r="A848">
        <v>2000086193</v>
      </c>
      <c r="B848" t="s">
        <v>27</v>
      </c>
      <c r="C848" t="s">
        <v>12</v>
      </c>
      <c r="D848">
        <v>7.8</v>
      </c>
      <c r="F848" s="3">
        <v>44131</v>
      </c>
      <c r="G848" s="2" t="str">
        <f t="shared" si="39"/>
        <v>October</v>
      </c>
      <c r="H848" s="2" t="str">
        <f t="shared" si="40"/>
        <v>Week 5</v>
      </c>
      <c r="I848" s="2" t="str">
        <f t="shared" si="41"/>
        <v>Quarter 4</v>
      </c>
    </row>
    <row r="849" spans="1:9" x14ac:dyDescent="0.25">
      <c r="A849">
        <v>2000086194</v>
      </c>
      <c r="B849" t="s">
        <v>27</v>
      </c>
      <c r="C849" t="s">
        <v>12</v>
      </c>
      <c r="D849">
        <v>7.8</v>
      </c>
      <c r="F849" s="3">
        <v>44131</v>
      </c>
      <c r="G849" s="2" t="str">
        <f t="shared" si="39"/>
        <v>October</v>
      </c>
      <c r="H849" s="2" t="str">
        <f t="shared" si="40"/>
        <v>Week 5</v>
      </c>
      <c r="I849" s="2" t="str">
        <f t="shared" si="41"/>
        <v>Quarter 4</v>
      </c>
    </row>
    <row r="850" spans="1:9" x14ac:dyDescent="0.25">
      <c r="A850">
        <v>2000086152</v>
      </c>
      <c r="B850" t="s">
        <v>27</v>
      </c>
      <c r="C850" t="s">
        <v>18</v>
      </c>
      <c r="D850">
        <v>24.6</v>
      </c>
      <c r="F850" s="3">
        <v>44131</v>
      </c>
      <c r="G850" s="2" t="str">
        <f t="shared" si="39"/>
        <v>October</v>
      </c>
      <c r="H850" s="2" t="str">
        <f t="shared" si="40"/>
        <v>Week 5</v>
      </c>
      <c r="I850" s="2" t="str">
        <f t="shared" si="41"/>
        <v>Quarter 4</v>
      </c>
    </row>
    <row r="851" spans="1:9" x14ac:dyDescent="0.25">
      <c r="A851">
        <v>2000086195</v>
      </c>
      <c r="B851" t="s">
        <v>27</v>
      </c>
      <c r="C851" t="s">
        <v>12</v>
      </c>
      <c r="D851">
        <v>7.55</v>
      </c>
      <c r="F851" s="3">
        <v>44131</v>
      </c>
      <c r="G851" s="2" t="str">
        <f t="shared" si="39"/>
        <v>October</v>
      </c>
      <c r="H851" s="2" t="str">
        <f t="shared" si="40"/>
        <v>Week 5</v>
      </c>
      <c r="I851" s="2" t="str">
        <f t="shared" si="41"/>
        <v>Quarter 4</v>
      </c>
    </row>
    <row r="852" spans="1:9" x14ac:dyDescent="0.25">
      <c r="A852">
        <v>2000086197</v>
      </c>
      <c r="B852" t="s">
        <v>27</v>
      </c>
      <c r="C852" t="s">
        <v>12</v>
      </c>
      <c r="D852">
        <v>13.2</v>
      </c>
      <c r="F852" s="3">
        <v>44131</v>
      </c>
      <c r="G852" s="2" t="str">
        <f t="shared" si="39"/>
        <v>October</v>
      </c>
      <c r="H852" s="2" t="str">
        <f t="shared" si="40"/>
        <v>Week 5</v>
      </c>
      <c r="I852" s="2" t="str">
        <f t="shared" si="41"/>
        <v>Quarter 4</v>
      </c>
    </row>
    <row r="853" spans="1:9" x14ac:dyDescent="0.25">
      <c r="A853">
        <v>2000086159</v>
      </c>
      <c r="B853" t="s">
        <v>27</v>
      </c>
      <c r="C853" t="s">
        <v>18</v>
      </c>
      <c r="D853">
        <v>23.45</v>
      </c>
      <c r="F853" s="3">
        <v>44131</v>
      </c>
      <c r="G853" s="2" t="str">
        <f t="shared" si="39"/>
        <v>October</v>
      </c>
      <c r="H853" s="2" t="str">
        <f t="shared" si="40"/>
        <v>Week 5</v>
      </c>
      <c r="I853" s="2" t="str">
        <f t="shared" si="41"/>
        <v>Quarter 4</v>
      </c>
    </row>
    <row r="854" spans="1:9" x14ac:dyDescent="0.25">
      <c r="A854">
        <v>2000086199</v>
      </c>
      <c r="B854" t="s">
        <v>27</v>
      </c>
      <c r="C854" t="s">
        <v>12</v>
      </c>
      <c r="D854">
        <v>7.8</v>
      </c>
      <c r="F854" s="3">
        <v>44131</v>
      </c>
      <c r="G854" s="2" t="str">
        <f t="shared" si="39"/>
        <v>October</v>
      </c>
      <c r="H854" s="2" t="str">
        <f t="shared" si="40"/>
        <v>Week 5</v>
      </c>
      <c r="I854" s="2" t="str">
        <f t="shared" si="41"/>
        <v>Quarter 4</v>
      </c>
    </row>
    <row r="855" spans="1:9" x14ac:dyDescent="0.25">
      <c r="A855">
        <v>2000086160</v>
      </c>
      <c r="B855" t="s">
        <v>27</v>
      </c>
      <c r="C855" t="s">
        <v>18</v>
      </c>
      <c r="D855">
        <v>23.45</v>
      </c>
      <c r="F855" s="3">
        <v>44131</v>
      </c>
      <c r="G855" s="2" t="str">
        <f t="shared" si="39"/>
        <v>October</v>
      </c>
      <c r="H855" s="2" t="str">
        <f t="shared" si="40"/>
        <v>Week 5</v>
      </c>
      <c r="I855" s="2" t="str">
        <f t="shared" si="41"/>
        <v>Quarter 4</v>
      </c>
    </row>
    <row r="856" spans="1:9" x14ac:dyDescent="0.25">
      <c r="A856">
        <v>2000086135</v>
      </c>
      <c r="B856" t="s">
        <v>27</v>
      </c>
      <c r="C856" t="s">
        <v>18</v>
      </c>
      <c r="D856">
        <v>33.700000000000003</v>
      </c>
      <c r="F856" s="3">
        <v>44131</v>
      </c>
      <c r="G856" s="2" t="str">
        <f t="shared" si="39"/>
        <v>October</v>
      </c>
      <c r="H856" s="2" t="str">
        <f t="shared" si="40"/>
        <v>Week 5</v>
      </c>
      <c r="I856" s="2" t="str">
        <f t="shared" si="41"/>
        <v>Quarter 4</v>
      </c>
    </row>
    <row r="857" spans="1:9" x14ac:dyDescent="0.25">
      <c r="A857">
        <v>2000086202</v>
      </c>
      <c r="B857" t="s">
        <v>27</v>
      </c>
      <c r="C857" t="s">
        <v>12</v>
      </c>
      <c r="D857">
        <v>7.55</v>
      </c>
      <c r="F857" s="3">
        <v>44131</v>
      </c>
      <c r="G857" s="2" t="str">
        <f t="shared" si="39"/>
        <v>October</v>
      </c>
      <c r="H857" s="2" t="str">
        <f t="shared" si="40"/>
        <v>Week 5</v>
      </c>
      <c r="I857" s="2" t="str">
        <f t="shared" si="41"/>
        <v>Quarter 4</v>
      </c>
    </row>
    <row r="858" spans="1:9" x14ac:dyDescent="0.25">
      <c r="A858">
        <v>2000086203</v>
      </c>
      <c r="B858" t="s">
        <v>27</v>
      </c>
      <c r="C858" t="s">
        <v>12</v>
      </c>
      <c r="D858">
        <v>7.8</v>
      </c>
      <c r="F858" s="3">
        <v>44131</v>
      </c>
      <c r="G858" s="2" t="str">
        <f t="shared" si="39"/>
        <v>October</v>
      </c>
      <c r="H858" s="2" t="str">
        <f t="shared" si="40"/>
        <v>Week 5</v>
      </c>
      <c r="I858" s="2" t="str">
        <f t="shared" si="41"/>
        <v>Quarter 4</v>
      </c>
    </row>
    <row r="859" spans="1:9" x14ac:dyDescent="0.25">
      <c r="A859">
        <v>2000086417</v>
      </c>
      <c r="B859" t="s">
        <v>27</v>
      </c>
      <c r="C859" t="s">
        <v>12</v>
      </c>
      <c r="D859">
        <v>23.19</v>
      </c>
      <c r="F859" s="3">
        <v>44131</v>
      </c>
      <c r="G859" s="2" t="str">
        <f t="shared" si="39"/>
        <v>October</v>
      </c>
      <c r="H859" s="2" t="str">
        <f t="shared" si="40"/>
        <v>Week 5</v>
      </c>
      <c r="I859" s="2" t="str">
        <f t="shared" si="41"/>
        <v>Quarter 4</v>
      </c>
    </row>
    <row r="860" spans="1:9" x14ac:dyDescent="0.25">
      <c r="A860">
        <v>2000086417</v>
      </c>
      <c r="B860" t="s">
        <v>27</v>
      </c>
      <c r="C860" t="s">
        <v>12</v>
      </c>
      <c r="D860">
        <v>33.799999999999997</v>
      </c>
      <c r="F860" s="3">
        <v>44131</v>
      </c>
      <c r="G860" s="2" t="str">
        <f t="shared" si="39"/>
        <v>October</v>
      </c>
      <c r="H860" s="2" t="str">
        <f t="shared" si="40"/>
        <v>Week 5</v>
      </c>
      <c r="I860" s="2" t="str">
        <f t="shared" si="41"/>
        <v>Quarter 4</v>
      </c>
    </row>
    <row r="861" spans="1:9" x14ac:dyDescent="0.25">
      <c r="A861">
        <v>2000086141</v>
      </c>
      <c r="B861" t="s">
        <v>27</v>
      </c>
      <c r="C861" t="s">
        <v>18</v>
      </c>
      <c r="D861">
        <v>27.8</v>
      </c>
      <c r="F861" s="3">
        <v>44131</v>
      </c>
      <c r="G861" s="2" t="str">
        <f t="shared" si="39"/>
        <v>October</v>
      </c>
      <c r="H861" s="2" t="str">
        <f t="shared" si="40"/>
        <v>Week 5</v>
      </c>
      <c r="I861" s="2" t="str">
        <f t="shared" si="41"/>
        <v>Quarter 4</v>
      </c>
    </row>
    <row r="862" spans="1:9" x14ac:dyDescent="0.25">
      <c r="A862">
        <v>2000086206</v>
      </c>
      <c r="B862" t="s">
        <v>27</v>
      </c>
      <c r="C862" t="s">
        <v>12</v>
      </c>
      <c r="D862">
        <v>20.05</v>
      </c>
      <c r="F862" s="3">
        <v>44131</v>
      </c>
      <c r="G862" s="2" t="str">
        <f t="shared" si="39"/>
        <v>October</v>
      </c>
      <c r="H862" s="2" t="str">
        <f t="shared" si="40"/>
        <v>Week 5</v>
      </c>
      <c r="I862" s="2" t="str">
        <f t="shared" si="41"/>
        <v>Quarter 4</v>
      </c>
    </row>
    <row r="863" spans="1:9" x14ac:dyDescent="0.25">
      <c r="A863">
        <v>2000086207</v>
      </c>
      <c r="B863" t="s">
        <v>27</v>
      </c>
      <c r="C863" t="s">
        <v>12</v>
      </c>
      <c r="D863">
        <v>7.7</v>
      </c>
      <c r="F863" s="3">
        <v>44131</v>
      </c>
      <c r="G863" s="2" t="str">
        <f t="shared" si="39"/>
        <v>October</v>
      </c>
      <c r="H863" s="2" t="str">
        <f t="shared" si="40"/>
        <v>Week 5</v>
      </c>
      <c r="I863" s="2" t="str">
        <f t="shared" si="41"/>
        <v>Quarter 4</v>
      </c>
    </row>
    <row r="864" spans="1:9" x14ac:dyDescent="0.25">
      <c r="A864">
        <v>2000086109</v>
      </c>
      <c r="B864" t="s">
        <v>27</v>
      </c>
      <c r="C864" t="s">
        <v>18</v>
      </c>
      <c r="D864">
        <v>41.6</v>
      </c>
      <c r="F864" s="3">
        <v>44131</v>
      </c>
      <c r="G864" s="2" t="str">
        <f t="shared" si="39"/>
        <v>October</v>
      </c>
      <c r="H864" s="2" t="str">
        <f t="shared" si="40"/>
        <v>Week 5</v>
      </c>
      <c r="I864" s="2" t="str">
        <f t="shared" si="41"/>
        <v>Quarter 4</v>
      </c>
    </row>
    <row r="865" spans="1:9" x14ac:dyDescent="0.25">
      <c r="A865">
        <v>2000086142</v>
      </c>
      <c r="B865" t="s">
        <v>27</v>
      </c>
      <c r="C865" t="s">
        <v>18</v>
      </c>
      <c r="D865">
        <v>27.25</v>
      </c>
      <c r="F865" s="3">
        <v>44131</v>
      </c>
      <c r="G865" s="2" t="str">
        <f t="shared" si="39"/>
        <v>October</v>
      </c>
      <c r="H865" s="2" t="str">
        <f t="shared" si="40"/>
        <v>Week 5</v>
      </c>
      <c r="I865" s="2" t="str">
        <f t="shared" si="41"/>
        <v>Quarter 4</v>
      </c>
    </row>
    <row r="866" spans="1:9" x14ac:dyDescent="0.25">
      <c r="A866">
        <v>2000086208</v>
      </c>
      <c r="B866" t="s">
        <v>27</v>
      </c>
      <c r="C866" t="s">
        <v>12</v>
      </c>
      <c r="D866">
        <v>15.9</v>
      </c>
      <c r="F866" s="3">
        <v>44131</v>
      </c>
      <c r="G866" s="2" t="str">
        <f t="shared" si="39"/>
        <v>October</v>
      </c>
      <c r="H866" s="2" t="str">
        <f t="shared" si="40"/>
        <v>Week 5</v>
      </c>
      <c r="I866" s="2" t="str">
        <f t="shared" si="41"/>
        <v>Quarter 4</v>
      </c>
    </row>
    <row r="867" spans="1:9" x14ac:dyDescent="0.25">
      <c r="A867">
        <v>2000086167</v>
      </c>
      <c r="B867" t="s">
        <v>27</v>
      </c>
      <c r="C867" t="s">
        <v>18</v>
      </c>
      <c r="D867">
        <v>15.35</v>
      </c>
      <c r="F867" s="3">
        <v>44131</v>
      </c>
      <c r="G867" s="2" t="str">
        <f t="shared" si="39"/>
        <v>October</v>
      </c>
      <c r="H867" s="2" t="str">
        <f t="shared" si="40"/>
        <v>Week 5</v>
      </c>
      <c r="I867" s="2" t="str">
        <f t="shared" si="41"/>
        <v>Quarter 4</v>
      </c>
    </row>
    <row r="868" spans="1:9" x14ac:dyDescent="0.25">
      <c r="A868">
        <v>2000086168</v>
      </c>
      <c r="B868" t="s">
        <v>27</v>
      </c>
      <c r="C868" t="s">
        <v>18</v>
      </c>
      <c r="D868">
        <v>23.2</v>
      </c>
      <c r="F868" s="3">
        <v>44131</v>
      </c>
      <c r="G868" s="2" t="str">
        <f t="shared" si="39"/>
        <v>October</v>
      </c>
      <c r="H868" s="2" t="str">
        <f t="shared" si="40"/>
        <v>Week 5</v>
      </c>
      <c r="I868" s="2" t="str">
        <f t="shared" si="41"/>
        <v>Quarter 4</v>
      </c>
    </row>
    <row r="869" spans="1:9" x14ac:dyDescent="0.25">
      <c r="A869">
        <v>2000086112</v>
      </c>
      <c r="B869" t="s">
        <v>27</v>
      </c>
      <c r="C869" t="s">
        <v>18</v>
      </c>
      <c r="D869">
        <v>41.05</v>
      </c>
      <c r="F869" s="3">
        <v>44131</v>
      </c>
      <c r="G869" s="2" t="str">
        <f t="shared" si="39"/>
        <v>October</v>
      </c>
      <c r="H869" s="2" t="str">
        <f t="shared" si="40"/>
        <v>Week 5</v>
      </c>
      <c r="I869" s="2" t="str">
        <f t="shared" si="41"/>
        <v>Quarter 4</v>
      </c>
    </row>
    <row r="870" spans="1:9" x14ac:dyDescent="0.25">
      <c r="A870">
        <v>2000086209</v>
      </c>
      <c r="B870" t="s">
        <v>27</v>
      </c>
      <c r="C870" t="s">
        <v>12</v>
      </c>
      <c r="D870">
        <v>8.9499999999999993</v>
      </c>
      <c r="F870" s="3">
        <v>44131</v>
      </c>
      <c r="G870" s="2" t="str">
        <f t="shared" si="39"/>
        <v>October</v>
      </c>
      <c r="H870" s="2" t="str">
        <f t="shared" si="40"/>
        <v>Week 5</v>
      </c>
      <c r="I870" s="2" t="str">
        <f t="shared" si="41"/>
        <v>Quarter 4</v>
      </c>
    </row>
    <row r="871" spans="1:9" x14ac:dyDescent="0.25">
      <c r="A871">
        <v>2000086210</v>
      </c>
      <c r="B871" t="s">
        <v>27</v>
      </c>
      <c r="C871" t="s">
        <v>12</v>
      </c>
      <c r="D871">
        <v>15.65</v>
      </c>
      <c r="F871" s="3">
        <v>44131</v>
      </c>
      <c r="G871" s="2" t="str">
        <f t="shared" si="39"/>
        <v>October</v>
      </c>
      <c r="H871" s="2" t="str">
        <f t="shared" si="40"/>
        <v>Week 5</v>
      </c>
      <c r="I871" s="2" t="str">
        <f t="shared" si="41"/>
        <v>Quarter 4</v>
      </c>
    </row>
    <row r="872" spans="1:9" x14ac:dyDescent="0.25">
      <c r="A872">
        <v>2000086211</v>
      </c>
      <c r="B872" t="s">
        <v>27</v>
      </c>
      <c r="C872" t="s">
        <v>12</v>
      </c>
      <c r="D872">
        <v>1260</v>
      </c>
      <c r="F872" s="3">
        <v>44131</v>
      </c>
      <c r="G872" s="2" t="str">
        <f t="shared" si="39"/>
        <v>October</v>
      </c>
      <c r="H872" s="2" t="str">
        <f t="shared" si="40"/>
        <v>Week 5</v>
      </c>
      <c r="I872" s="2" t="str">
        <f t="shared" si="41"/>
        <v>Quarter 4</v>
      </c>
    </row>
    <row r="873" spans="1:9" x14ac:dyDescent="0.25">
      <c r="A873">
        <v>2000086211</v>
      </c>
      <c r="B873" t="s">
        <v>27</v>
      </c>
      <c r="C873" t="s">
        <v>12</v>
      </c>
      <c r="D873">
        <v>100</v>
      </c>
      <c r="F873" s="3">
        <v>44131</v>
      </c>
      <c r="G873" s="2" t="str">
        <f t="shared" si="39"/>
        <v>October</v>
      </c>
      <c r="H873" s="2" t="str">
        <f t="shared" si="40"/>
        <v>Week 5</v>
      </c>
      <c r="I873" s="2" t="str">
        <f t="shared" si="41"/>
        <v>Quarter 4</v>
      </c>
    </row>
    <row r="874" spans="1:9" x14ac:dyDescent="0.25">
      <c r="A874">
        <v>2000086122</v>
      </c>
      <c r="B874" t="s">
        <v>27</v>
      </c>
      <c r="C874" t="s">
        <v>18</v>
      </c>
      <c r="D874">
        <v>37.75</v>
      </c>
      <c r="F874" s="3">
        <v>44131</v>
      </c>
      <c r="G874" s="2" t="str">
        <f t="shared" si="39"/>
        <v>October</v>
      </c>
      <c r="H874" s="2" t="str">
        <f t="shared" si="40"/>
        <v>Week 5</v>
      </c>
      <c r="I874" s="2" t="str">
        <f t="shared" si="41"/>
        <v>Quarter 4</v>
      </c>
    </row>
    <row r="875" spans="1:9" x14ac:dyDescent="0.25">
      <c r="A875">
        <v>2000086212</v>
      </c>
      <c r="B875" t="s">
        <v>27</v>
      </c>
      <c r="C875" t="s">
        <v>12</v>
      </c>
      <c r="D875">
        <v>7.55</v>
      </c>
      <c r="F875" s="3">
        <v>44131</v>
      </c>
      <c r="G875" s="2" t="str">
        <f t="shared" si="39"/>
        <v>October</v>
      </c>
      <c r="H875" s="2" t="str">
        <f t="shared" si="40"/>
        <v>Week 5</v>
      </c>
      <c r="I875" s="2" t="str">
        <f t="shared" si="41"/>
        <v>Quarter 4</v>
      </c>
    </row>
    <row r="876" spans="1:9" x14ac:dyDescent="0.25">
      <c r="A876">
        <v>2000086213</v>
      </c>
      <c r="B876" t="s">
        <v>27</v>
      </c>
      <c r="C876" t="s">
        <v>12</v>
      </c>
      <c r="D876">
        <v>15.09</v>
      </c>
      <c r="F876" s="3">
        <v>44131</v>
      </c>
      <c r="G876" s="2" t="str">
        <f t="shared" si="39"/>
        <v>October</v>
      </c>
      <c r="H876" s="2" t="str">
        <f t="shared" si="40"/>
        <v>Week 5</v>
      </c>
      <c r="I876" s="2" t="str">
        <f t="shared" si="41"/>
        <v>Quarter 4</v>
      </c>
    </row>
    <row r="877" spans="1:9" x14ac:dyDescent="0.25">
      <c r="A877">
        <v>2000086125</v>
      </c>
      <c r="B877" t="s">
        <v>27</v>
      </c>
      <c r="C877" t="s">
        <v>18</v>
      </c>
      <c r="D877">
        <v>37.25</v>
      </c>
      <c r="F877" s="3">
        <v>44131</v>
      </c>
      <c r="G877" s="2" t="str">
        <f t="shared" si="39"/>
        <v>October</v>
      </c>
      <c r="H877" s="2" t="str">
        <f t="shared" si="40"/>
        <v>Week 5</v>
      </c>
      <c r="I877" s="2" t="str">
        <f t="shared" si="41"/>
        <v>Quarter 4</v>
      </c>
    </row>
    <row r="878" spans="1:9" x14ac:dyDescent="0.25">
      <c r="A878">
        <v>2000086161</v>
      </c>
      <c r="B878" t="s">
        <v>27</v>
      </c>
      <c r="C878" t="s">
        <v>18</v>
      </c>
      <c r="D878">
        <v>23.45</v>
      </c>
      <c r="F878" s="3">
        <v>44131</v>
      </c>
      <c r="G878" s="2" t="str">
        <f t="shared" si="39"/>
        <v>October</v>
      </c>
      <c r="H878" s="2" t="str">
        <f t="shared" si="40"/>
        <v>Week 5</v>
      </c>
      <c r="I878" s="2" t="str">
        <f t="shared" si="41"/>
        <v>Quarter 4</v>
      </c>
    </row>
    <row r="879" spans="1:9" x14ac:dyDescent="0.25">
      <c r="A879">
        <v>2000086412</v>
      </c>
      <c r="B879" t="s">
        <v>27</v>
      </c>
      <c r="C879" t="s">
        <v>12</v>
      </c>
      <c r="D879">
        <v>15.5</v>
      </c>
      <c r="F879" s="3">
        <v>44131</v>
      </c>
      <c r="G879" s="2" t="str">
        <f t="shared" si="39"/>
        <v>October</v>
      </c>
      <c r="H879" s="2" t="str">
        <f t="shared" si="40"/>
        <v>Week 5</v>
      </c>
      <c r="I879" s="2" t="str">
        <f t="shared" si="41"/>
        <v>Quarter 4</v>
      </c>
    </row>
    <row r="880" spans="1:9" x14ac:dyDescent="0.25">
      <c r="A880">
        <v>2000086404</v>
      </c>
      <c r="B880" t="s">
        <v>27</v>
      </c>
      <c r="C880" t="s">
        <v>12</v>
      </c>
      <c r="D880">
        <v>7.7</v>
      </c>
      <c r="F880" s="3">
        <v>44131</v>
      </c>
      <c r="G880" s="2" t="str">
        <f t="shared" si="39"/>
        <v>October</v>
      </c>
      <c r="H880" s="2" t="str">
        <f t="shared" si="40"/>
        <v>Week 5</v>
      </c>
      <c r="I880" s="2" t="str">
        <f t="shared" si="41"/>
        <v>Quarter 4</v>
      </c>
    </row>
    <row r="881" spans="1:9" x14ac:dyDescent="0.25">
      <c r="A881">
        <v>2000086408</v>
      </c>
      <c r="B881" t="s">
        <v>27</v>
      </c>
      <c r="C881" t="s">
        <v>12</v>
      </c>
      <c r="D881">
        <v>7.8</v>
      </c>
      <c r="F881" s="3">
        <v>44131</v>
      </c>
      <c r="G881" s="2" t="str">
        <f t="shared" si="39"/>
        <v>October</v>
      </c>
      <c r="H881" s="2" t="str">
        <f t="shared" si="40"/>
        <v>Week 5</v>
      </c>
      <c r="I881" s="2" t="str">
        <f t="shared" si="41"/>
        <v>Quarter 4</v>
      </c>
    </row>
    <row r="882" spans="1:9" x14ac:dyDescent="0.25">
      <c r="A882">
        <v>2000086407</v>
      </c>
      <c r="B882" t="s">
        <v>27</v>
      </c>
      <c r="C882" t="s">
        <v>12</v>
      </c>
      <c r="D882">
        <v>7.8</v>
      </c>
      <c r="F882" s="3">
        <v>44131</v>
      </c>
      <c r="G882" s="2" t="str">
        <f t="shared" si="39"/>
        <v>October</v>
      </c>
      <c r="H882" s="2" t="str">
        <f t="shared" si="40"/>
        <v>Week 5</v>
      </c>
      <c r="I882" s="2" t="str">
        <f t="shared" si="41"/>
        <v>Quarter 4</v>
      </c>
    </row>
    <row r="883" spans="1:9" x14ac:dyDescent="0.25">
      <c r="A883">
        <v>2000086406</v>
      </c>
      <c r="B883" t="s">
        <v>27</v>
      </c>
      <c r="C883" t="s">
        <v>12</v>
      </c>
      <c r="D883">
        <v>7.8</v>
      </c>
      <c r="F883" s="3">
        <v>44131</v>
      </c>
      <c r="G883" s="2" t="str">
        <f t="shared" si="39"/>
        <v>October</v>
      </c>
      <c r="H883" s="2" t="str">
        <f t="shared" si="40"/>
        <v>Week 5</v>
      </c>
      <c r="I883" s="2" t="str">
        <f t="shared" si="41"/>
        <v>Quarter 4</v>
      </c>
    </row>
    <row r="884" spans="1:9" x14ac:dyDescent="0.25">
      <c r="A884">
        <v>2000086113</v>
      </c>
      <c r="B884" t="s">
        <v>27</v>
      </c>
      <c r="C884" t="s">
        <v>18</v>
      </c>
      <c r="D884">
        <v>39.299999999999997</v>
      </c>
      <c r="F884" s="3">
        <v>44131</v>
      </c>
      <c r="G884" s="2" t="str">
        <f t="shared" si="39"/>
        <v>October</v>
      </c>
      <c r="H884" s="2" t="str">
        <f t="shared" si="40"/>
        <v>Week 5</v>
      </c>
      <c r="I884" s="2" t="str">
        <f t="shared" si="41"/>
        <v>Quarter 4</v>
      </c>
    </row>
    <row r="885" spans="1:9" x14ac:dyDescent="0.25">
      <c r="A885">
        <v>2000086149</v>
      </c>
      <c r="B885" t="s">
        <v>27</v>
      </c>
      <c r="C885" t="s">
        <v>18</v>
      </c>
      <c r="D885">
        <v>26.4</v>
      </c>
      <c r="F885" s="3">
        <v>44131</v>
      </c>
      <c r="G885" s="2" t="str">
        <f t="shared" si="39"/>
        <v>October</v>
      </c>
      <c r="H885" s="2" t="str">
        <f t="shared" si="40"/>
        <v>Week 5</v>
      </c>
      <c r="I885" s="2" t="str">
        <f t="shared" si="41"/>
        <v>Quarter 4</v>
      </c>
    </row>
    <row r="886" spans="1:9" x14ac:dyDescent="0.25">
      <c r="A886">
        <v>2000086410</v>
      </c>
      <c r="B886" t="s">
        <v>27</v>
      </c>
      <c r="C886" t="s">
        <v>12</v>
      </c>
      <c r="D886">
        <v>14.1</v>
      </c>
      <c r="F886" s="3">
        <v>44131</v>
      </c>
      <c r="G886" s="2" t="str">
        <f t="shared" si="39"/>
        <v>October</v>
      </c>
      <c r="H886" s="2" t="str">
        <f t="shared" si="40"/>
        <v>Week 5</v>
      </c>
      <c r="I886" s="2" t="str">
        <f t="shared" si="41"/>
        <v>Quarter 4</v>
      </c>
    </row>
    <row r="887" spans="1:9" x14ac:dyDescent="0.25">
      <c r="A887">
        <v>2000086413</v>
      </c>
      <c r="B887" t="s">
        <v>27</v>
      </c>
      <c r="C887" t="s">
        <v>12</v>
      </c>
      <c r="D887">
        <v>15.55</v>
      </c>
      <c r="F887" s="3">
        <v>44131</v>
      </c>
      <c r="G887" s="2" t="str">
        <f t="shared" si="39"/>
        <v>October</v>
      </c>
      <c r="H887" s="2" t="str">
        <f t="shared" si="40"/>
        <v>Week 5</v>
      </c>
      <c r="I887" s="2" t="str">
        <f t="shared" si="41"/>
        <v>Quarter 4</v>
      </c>
    </row>
    <row r="888" spans="1:9" x14ac:dyDescent="0.25">
      <c r="A888">
        <v>2000086409</v>
      </c>
      <c r="B888" t="s">
        <v>27</v>
      </c>
      <c r="C888" t="s">
        <v>12</v>
      </c>
      <c r="D888">
        <v>13.2</v>
      </c>
      <c r="F888" s="3">
        <v>44131</v>
      </c>
      <c r="G888" s="2" t="str">
        <f t="shared" si="39"/>
        <v>October</v>
      </c>
      <c r="H888" s="2" t="str">
        <f t="shared" si="40"/>
        <v>Week 5</v>
      </c>
      <c r="I888" s="2" t="str">
        <f t="shared" si="41"/>
        <v>Quarter 4</v>
      </c>
    </row>
    <row r="889" spans="1:9" x14ac:dyDescent="0.25">
      <c r="A889">
        <v>2000086143</v>
      </c>
      <c r="B889" t="s">
        <v>27</v>
      </c>
      <c r="C889" t="s">
        <v>18</v>
      </c>
      <c r="D889">
        <v>26.8</v>
      </c>
      <c r="F889" s="3">
        <v>44131</v>
      </c>
      <c r="G889" s="2" t="str">
        <f t="shared" si="39"/>
        <v>October</v>
      </c>
      <c r="H889" s="2" t="str">
        <f t="shared" si="40"/>
        <v>Week 5</v>
      </c>
      <c r="I889" s="2" t="str">
        <f t="shared" si="41"/>
        <v>Quarter 4</v>
      </c>
    </row>
    <row r="890" spans="1:9" x14ac:dyDescent="0.25">
      <c r="A890">
        <v>2000086111</v>
      </c>
      <c r="B890" t="s">
        <v>27</v>
      </c>
      <c r="C890" t="s">
        <v>18</v>
      </c>
      <c r="D890">
        <v>41.55</v>
      </c>
      <c r="F890" s="3">
        <v>44131</v>
      </c>
      <c r="G890" s="2" t="str">
        <f t="shared" si="39"/>
        <v>October</v>
      </c>
      <c r="H890" s="2" t="str">
        <f t="shared" si="40"/>
        <v>Week 5</v>
      </c>
      <c r="I890" s="2" t="str">
        <f t="shared" si="41"/>
        <v>Quarter 4</v>
      </c>
    </row>
    <row r="891" spans="1:9" x14ac:dyDescent="0.25">
      <c r="A891">
        <v>2000086169</v>
      </c>
      <c r="B891" t="s">
        <v>27</v>
      </c>
      <c r="C891" t="s">
        <v>18</v>
      </c>
      <c r="D891">
        <v>23.2</v>
      </c>
      <c r="F891" s="3">
        <v>44131</v>
      </c>
      <c r="G891" s="2" t="str">
        <f t="shared" si="39"/>
        <v>October</v>
      </c>
      <c r="H891" s="2" t="str">
        <f t="shared" si="40"/>
        <v>Week 5</v>
      </c>
      <c r="I891" s="2" t="str">
        <f t="shared" si="41"/>
        <v>Quarter 4</v>
      </c>
    </row>
    <row r="892" spans="1:9" x14ac:dyDescent="0.25">
      <c r="A892">
        <v>2000086411</v>
      </c>
      <c r="B892" t="s">
        <v>27</v>
      </c>
      <c r="C892" t="s">
        <v>12</v>
      </c>
      <c r="D892">
        <v>15.1</v>
      </c>
      <c r="F892" s="3">
        <v>44131</v>
      </c>
      <c r="G892" s="2" t="str">
        <f t="shared" si="39"/>
        <v>October</v>
      </c>
      <c r="H892" s="2" t="str">
        <f t="shared" si="40"/>
        <v>Week 5</v>
      </c>
      <c r="I892" s="2" t="str">
        <f t="shared" si="41"/>
        <v>Quarter 4</v>
      </c>
    </row>
    <row r="893" spans="1:9" x14ac:dyDescent="0.25">
      <c r="A893">
        <v>2000086415</v>
      </c>
      <c r="B893" t="s">
        <v>27</v>
      </c>
      <c r="C893" t="s">
        <v>12</v>
      </c>
      <c r="D893">
        <v>16.75</v>
      </c>
      <c r="F893" s="3">
        <v>44131</v>
      </c>
      <c r="G893" s="2" t="str">
        <f t="shared" si="39"/>
        <v>October</v>
      </c>
      <c r="H893" s="2" t="str">
        <f t="shared" si="40"/>
        <v>Week 5</v>
      </c>
      <c r="I893" s="2" t="str">
        <f t="shared" si="41"/>
        <v>Quarter 4</v>
      </c>
    </row>
    <row r="894" spans="1:9" x14ac:dyDescent="0.25">
      <c r="A894">
        <v>2000086116</v>
      </c>
      <c r="B894" t="s">
        <v>27</v>
      </c>
      <c r="C894" t="s">
        <v>18</v>
      </c>
      <c r="D894">
        <v>38.6</v>
      </c>
      <c r="F894" s="3">
        <v>44131</v>
      </c>
      <c r="G894" s="2" t="str">
        <f t="shared" si="39"/>
        <v>October</v>
      </c>
      <c r="H894" s="2" t="str">
        <f t="shared" si="40"/>
        <v>Week 5</v>
      </c>
      <c r="I894" s="2" t="str">
        <f t="shared" si="41"/>
        <v>Quarter 4</v>
      </c>
    </row>
    <row r="895" spans="1:9" x14ac:dyDescent="0.25">
      <c r="A895">
        <v>2000086138</v>
      </c>
      <c r="B895" t="s">
        <v>27</v>
      </c>
      <c r="C895" t="s">
        <v>18</v>
      </c>
      <c r="D895">
        <v>30.75</v>
      </c>
      <c r="F895" s="3">
        <v>44131</v>
      </c>
      <c r="G895" s="2" t="str">
        <f t="shared" si="39"/>
        <v>October</v>
      </c>
      <c r="H895" s="2" t="str">
        <f t="shared" si="40"/>
        <v>Week 5</v>
      </c>
      <c r="I895" s="2" t="str">
        <f t="shared" si="41"/>
        <v>Quarter 4</v>
      </c>
    </row>
    <row r="896" spans="1:9" x14ac:dyDescent="0.25">
      <c r="A896">
        <v>2000086137</v>
      </c>
      <c r="B896" t="s">
        <v>27</v>
      </c>
      <c r="C896" t="s">
        <v>18</v>
      </c>
      <c r="D896">
        <v>31.9</v>
      </c>
      <c r="F896" s="3">
        <v>44131</v>
      </c>
      <c r="G896" s="2" t="str">
        <f t="shared" si="39"/>
        <v>October</v>
      </c>
      <c r="H896" s="2" t="str">
        <f t="shared" si="40"/>
        <v>Week 5</v>
      </c>
      <c r="I896" s="2" t="str">
        <f t="shared" si="41"/>
        <v>Quarter 4</v>
      </c>
    </row>
    <row r="897" spans="1:9" x14ac:dyDescent="0.25">
      <c r="A897">
        <v>2000086101</v>
      </c>
      <c r="B897" t="s">
        <v>27</v>
      </c>
      <c r="C897" t="s">
        <v>18</v>
      </c>
      <c r="D897">
        <v>2976.6</v>
      </c>
      <c r="F897" s="3">
        <v>44131</v>
      </c>
      <c r="G897" s="2" t="str">
        <f t="shared" si="39"/>
        <v>October</v>
      </c>
      <c r="H897" s="2" t="str">
        <f t="shared" si="40"/>
        <v>Week 5</v>
      </c>
      <c r="I897" s="2" t="str">
        <f t="shared" si="41"/>
        <v>Quarter 4</v>
      </c>
    </row>
    <row r="898" spans="1:9" x14ac:dyDescent="0.25">
      <c r="A898">
        <v>2000086405</v>
      </c>
      <c r="B898" t="s">
        <v>27</v>
      </c>
      <c r="C898" t="s">
        <v>12</v>
      </c>
      <c r="D898">
        <v>7.8</v>
      </c>
      <c r="F898" s="3">
        <v>44131</v>
      </c>
      <c r="G898" s="2" t="str">
        <f t="shared" si="39"/>
        <v>October</v>
      </c>
      <c r="H898" s="2" t="str">
        <f t="shared" si="40"/>
        <v>Week 5</v>
      </c>
      <c r="I898" s="2" t="str">
        <f t="shared" si="41"/>
        <v>Quarter 4</v>
      </c>
    </row>
    <row r="899" spans="1:9" x14ac:dyDescent="0.25">
      <c r="A899">
        <v>2000086131</v>
      </c>
      <c r="B899" t="s">
        <v>27</v>
      </c>
      <c r="C899" t="s">
        <v>18</v>
      </c>
      <c r="D899">
        <v>34.1</v>
      </c>
      <c r="F899" s="3">
        <v>44131</v>
      </c>
      <c r="G899" s="2" t="str">
        <f t="shared" ref="G899:G924" si="42">TEXT(F899,"mmmm")</f>
        <v>October</v>
      </c>
      <c r="H899" s="2" t="str">
        <f t="shared" ref="H899:H924" si="43">"Week "&amp;((WEEKNUM(F899)-WEEKNUM(DATE(YEAR(F899),MONTH(F899),1))+1))</f>
        <v>Week 5</v>
      </c>
      <c r="I899" s="2" t="str">
        <f t="shared" ref="I899:I924" si="44">"Quarter " &amp; ROUNDUP((MONTH(F899))/3,0)</f>
        <v>Quarter 4</v>
      </c>
    </row>
    <row r="900" spans="1:9" x14ac:dyDescent="0.25">
      <c r="A900">
        <v>2000086105</v>
      </c>
      <c r="B900" t="s">
        <v>27</v>
      </c>
      <c r="C900" t="s">
        <v>18</v>
      </c>
      <c r="D900">
        <v>258.64</v>
      </c>
      <c r="F900" s="3">
        <v>44131</v>
      </c>
      <c r="G900" s="2" t="str">
        <f t="shared" si="42"/>
        <v>October</v>
      </c>
      <c r="H900" s="2" t="str">
        <f t="shared" si="43"/>
        <v>Week 5</v>
      </c>
      <c r="I900" s="2" t="str">
        <f t="shared" si="44"/>
        <v>Quarter 4</v>
      </c>
    </row>
    <row r="901" spans="1:9" x14ac:dyDescent="0.25">
      <c r="A901">
        <v>2000086100</v>
      </c>
      <c r="B901" t="s">
        <v>27</v>
      </c>
      <c r="C901" t="s">
        <v>18</v>
      </c>
      <c r="D901">
        <v>3547.2</v>
      </c>
      <c r="F901" s="3">
        <v>44131</v>
      </c>
      <c r="G901" s="2" t="str">
        <f t="shared" si="42"/>
        <v>October</v>
      </c>
      <c r="H901" s="2" t="str">
        <f t="shared" si="43"/>
        <v>Week 5</v>
      </c>
      <c r="I901" s="2" t="str">
        <f t="shared" si="44"/>
        <v>Quarter 4</v>
      </c>
    </row>
    <row r="902" spans="1:9" x14ac:dyDescent="0.25">
      <c r="A902">
        <v>2000086414</v>
      </c>
      <c r="B902" t="s">
        <v>27</v>
      </c>
      <c r="C902" t="s">
        <v>12</v>
      </c>
      <c r="D902">
        <v>16.75</v>
      </c>
      <c r="F902" s="3">
        <v>44131</v>
      </c>
      <c r="G902" s="2" t="str">
        <f t="shared" si="42"/>
        <v>October</v>
      </c>
      <c r="H902" s="2" t="str">
        <f t="shared" si="43"/>
        <v>Week 5</v>
      </c>
      <c r="I902" s="2" t="str">
        <f t="shared" si="44"/>
        <v>Quarter 4</v>
      </c>
    </row>
    <row r="903" spans="1:9" x14ac:dyDescent="0.25">
      <c r="A903">
        <v>2000086117</v>
      </c>
      <c r="B903" t="s">
        <v>27</v>
      </c>
      <c r="C903" t="s">
        <v>18</v>
      </c>
      <c r="D903">
        <v>38.299999999999997</v>
      </c>
      <c r="F903" s="3">
        <v>44131</v>
      </c>
      <c r="G903" s="2" t="str">
        <f t="shared" si="42"/>
        <v>October</v>
      </c>
      <c r="H903" s="2" t="str">
        <f t="shared" si="43"/>
        <v>Week 5</v>
      </c>
      <c r="I903" s="2" t="str">
        <f t="shared" si="44"/>
        <v>Quarter 4</v>
      </c>
    </row>
    <row r="904" spans="1:9" x14ac:dyDescent="0.25">
      <c r="A904">
        <v>2000086118</v>
      </c>
      <c r="B904" t="s">
        <v>27</v>
      </c>
      <c r="C904" t="s">
        <v>18</v>
      </c>
      <c r="D904">
        <v>7.55</v>
      </c>
      <c r="F904" s="3">
        <v>44131</v>
      </c>
      <c r="G904" s="2" t="str">
        <f t="shared" si="42"/>
        <v>October</v>
      </c>
      <c r="H904" s="2" t="str">
        <f t="shared" si="43"/>
        <v>Week 5</v>
      </c>
      <c r="I904" s="2" t="str">
        <f t="shared" si="44"/>
        <v>Quarter 4</v>
      </c>
    </row>
    <row r="905" spans="1:9" x14ac:dyDescent="0.25">
      <c r="A905">
        <v>2000086419</v>
      </c>
      <c r="B905" t="s">
        <v>27</v>
      </c>
      <c r="C905" t="s">
        <v>11</v>
      </c>
      <c r="D905">
        <v>16580.650000000001</v>
      </c>
      <c r="F905" s="3">
        <v>44131</v>
      </c>
      <c r="G905" s="2" t="str">
        <f t="shared" si="42"/>
        <v>October</v>
      </c>
      <c r="H905" s="2" t="str">
        <f t="shared" si="43"/>
        <v>Week 5</v>
      </c>
      <c r="I905" s="2" t="str">
        <f t="shared" si="44"/>
        <v>Quarter 4</v>
      </c>
    </row>
    <row r="906" spans="1:9" x14ac:dyDescent="0.25">
      <c r="A906">
        <v>2000086646</v>
      </c>
      <c r="B906" t="s">
        <v>27</v>
      </c>
      <c r="C906" t="s">
        <v>11</v>
      </c>
      <c r="D906">
        <v>2062.31</v>
      </c>
      <c r="F906" s="3">
        <v>44131</v>
      </c>
      <c r="G906" s="2" t="str">
        <f t="shared" si="42"/>
        <v>October</v>
      </c>
      <c r="H906" s="2" t="str">
        <f t="shared" si="43"/>
        <v>Week 5</v>
      </c>
      <c r="I906" s="2" t="str">
        <f t="shared" si="44"/>
        <v>Quarter 4</v>
      </c>
    </row>
    <row r="907" spans="1:9" x14ac:dyDescent="0.25">
      <c r="A907">
        <v>2000086417</v>
      </c>
      <c r="B907" t="s">
        <v>27</v>
      </c>
      <c r="C907" t="s">
        <v>12</v>
      </c>
      <c r="D907">
        <v>78.22</v>
      </c>
      <c r="F907" s="3">
        <v>44131</v>
      </c>
      <c r="G907" s="2" t="str">
        <f t="shared" si="42"/>
        <v>October</v>
      </c>
      <c r="H907" s="2" t="str">
        <f t="shared" si="43"/>
        <v>Week 5</v>
      </c>
      <c r="I907" s="2" t="str">
        <f t="shared" si="44"/>
        <v>Quarter 4</v>
      </c>
    </row>
    <row r="908" spans="1:9" x14ac:dyDescent="0.25">
      <c r="A908">
        <v>2000086662</v>
      </c>
      <c r="B908" t="s">
        <v>27</v>
      </c>
      <c r="C908" t="s">
        <v>9</v>
      </c>
      <c r="D908">
        <v>64.8</v>
      </c>
      <c r="F908" s="3">
        <v>44131</v>
      </c>
      <c r="G908" s="2" t="str">
        <f t="shared" si="42"/>
        <v>October</v>
      </c>
      <c r="H908" s="2" t="str">
        <f t="shared" si="43"/>
        <v>Week 5</v>
      </c>
      <c r="I908" s="2" t="str">
        <f t="shared" si="44"/>
        <v>Quarter 4</v>
      </c>
    </row>
    <row r="909" spans="1:9" x14ac:dyDescent="0.25">
      <c r="A909">
        <v>2000086661</v>
      </c>
      <c r="B909" t="s">
        <v>27</v>
      </c>
      <c r="C909" t="s">
        <v>9</v>
      </c>
      <c r="D909">
        <v>63.55</v>
      </c>
      <c r="F909" s="3">
        <v>44131</v>
      </c>
      <c r="G909" s="2" t="str">
        <f t="shared" si="42"/>
        <v>October</v>
      </c>
      <c r="H909" s="2" t="str">
        <f t="shared" si="43"/>
        <v>Week 5</v>
      </c>
      <c r="I909" s="2" t="str">
        <f t="shared" si="44"/>
        <v>Quarter 4</v>
      </c>
    </row>
    <row r="910" spans="1:9" x14ac:dyDescent="0.25">
      <c r="A910">
        <v>2000086652</v>
      </c>
      <c r="B910" t="s">
        <v>27</v>
      </c>
      <c r="C910" t="s">
        <v>12</v>
      </c>
      <c r="D910">
        <v>549.4</v>
      </c>
      <c r="F910" s="3">
        <v>44131</v>
      </c>
      <c r="G910" s="2" t="str">
        <f t="shared" si="42"/>
        <v>October</v>
      </c>
      <c r="H910" s="2" t="str">
        <f t="shared" si="43"/>
        <v>Week 5</v>
      </c>
      <c r="I910" s="2" t="str">
        <f t="shared" si="44"/>
        <v>Quarter 4</v>
      </c>
    </row>
    <row r="911" spans="1:9" x14ac:dyDescent="0.25">
      <c r="A911">
        <v>2000086410</v>
      </c>
      <c r="B911" t="s">
        <v>27</v>
      </c>
      <c r="C911" t="s">
        <v>12</v>
      </c>
      <c r="D911">
        <v>10.85</v>
      </c>
      <c r="F911" s="3">
        <v>44131</v>
      </c>
      <c r="G911" s="2" t="str">
        <f t="shared" si="42"/>
        <v>October</v>
      </c>
      <c r="H911" s="2" t="str">
        <f t="shared" si="43"/>
        <v>Week 5</v>
      </c>
      <c r="I911" s="2" t="str">
        <f t="shared" si="44"/>
        <v>Quarter 4</v>
      </c>
    </row>
    <row r="912" spans="1:9" x14ac:dyDescent="0.25">
      <c r="A912">
        <v>2000086410</v>
      </c>
      <c r="B912" t="s">
        <v>27</v>
      </c>
      <c r="C912" t="s">
        <v>12</v>
      </c>
      <c r="D912">
        <v>0.45</v>
      </c>
      <c r="F912" s="3">
        <v>44131</v>
      </c>
      <c r="G912" s="2" t="str">
        <f t="shared" si="42"/>
        <v>October</v>
      </c>
      <c r="H912" s="2" t="str">
        <f t="shared" si="43"/>
        <v>Week 5</v>
      </c>
      <c r="I912" s="2" t="str">
        <f t="shared" si="44"/>
        <v>Quarter 4</v>
      </c>
    </row>
    <row r="913" spans="1:9" x14ac:dyDescent="0.25">
      <c r="A913">
        <v>2000086362</v>
      </c>
      <c r="B913" t="s">
        <v>27</v>
      </c>
      <c r="C913" t="s">
        <v>18</v>
      </c>
      <c r="D913">
        <v>152.6</v>
      </c>
      <c r="F913" s="3">
        <v>44131</v>
      </c>
      <c r="G913" s="2" t="str">
        <f t="shared" si="42"/>
        <v>October</v>
      </c>
      <c r="H913" s="2" t="str">
        <f t="shared" si="43"/>
        <v>Week 5</v>
      </c>
      <c r="I913" s="2" t="str">
        <f t="shared" si="44"/>
        <v>Quarter 4</v>
      </c>
    </row>
    <row r="914" spans="1:9" x14ac:dyDescent="0.25">
      <c r="A914">
        <v>2000086277</v>
      </c>
      <c r="B914" t="s">
        <v>27</v>
      </c>
      <c r="C914" t="s">
        <v>18</v>
      </c>
      <c r="D914">
        <v>24.35</v>
      </c>
      <c r="F914" s="3">
        <v>44131</v>
      </c>
      <c r="G914" s="2" t="str">
        <f t="shared" si="42"/>
        <v>October</v>
      </c>
      <c r="H914" s="2" t="str">
        <f t="shared" si="43"/>
        <v>Week 5</v>
      </c>
      <c r="I914" s="2" t="str">
        <f t="shared" si="44"/>
        <v>Quarter 4</v>
      </c>
    </row>
    <row r="915" spans="1:9" x14ac:dyDescent="0.25">
      <c r="A915">
        <v>2000086416</v>
      </c>
      <c r="B915" t="s">
        <v>27</v>
      </c>
      <c r="C915" t="s">
        <v>12</v>
      </c>
      <c r="D915">
        <v>26</v>
      </c>
      <c r="F915" s="3">
        <v>44131</v>
      </c>
      <c r="G915" s="2" t="str">
        <f t="shared" si="42"/>
        <v>October</v>
      </c>
      <c r="H915" s="2" t="str">
        <f t="shared" si="43"/>
        <v>Week 5</v>
      </c>
      <c r="I915" s="2" t="str">
        <f t="shared" si="44"/>
        <v>Quarter 4</v>
      </c>
    </row>
    <row r="916" spans="1:9" x14ac:dyDescent="0.25">
      <c r="A916">
        <v>2000086643</v>
      </c>
      <c r="B916" t="s">
        <v>27</v>
      </c>
      <c r="C916" t="s">
        <v>29</v>
      </c>
      <c r="D916">
        <v>20.5</v>
      </c>
      <c r="F916" s="3">
        <v>44131</v>
      </c>
      <c r="G916" s="2" t="str">
        <f t="shared" si="42"/>
        <v>October</v>
      </c>
      <c r="H916" s="2" t="str">
        <f t="shared" si="43"/>
        <v>Week 5</v>
      </c>
      <c r="I916" s="2" t="str">
        <f t="shared" si="44"/>
        <v>Quarter 4</v>
      </c>
    </row>
    <row r="917" spans="1:9" x14ac:dyDescent="0.25">
      <c r="A917">
        <v>2800063642</v>
      </c>
      <c r="B917" t="s">
        <v>27</v>
      </c>
      <c r="C917" t="s">
        <v>11</v>
      </c>
      <c r="D917">
        <v>60</v>
      </c>
      <c r="F917" s="3">
        <v>44131</v>
      </c>
      <c r="G917" s="2" t="str">
        <f t="shared" si="42"/>
        <v>October</v>
      </c>
      <c r="H917" s="2" t="str">
        <f t="shared" si="43"/>
        <v>Week 5</v>
      </c>
      <c r="I917" s="2" t="str">
        <f t="shared" si="44"/>
        <v>Quarter 4</v>
      </c>
    </row>
    <row r="918" spans="1:9" x14ac:dyDescent="0.25">
      <c r="A918">
        <v>2000086421</v>
      </c>
      <c r="B918" t="s">
        <v>27</v>
      </c>
      <c r="C918" t="s">
        <v>11</v>
      </c>
      <c r="D918">
        <v>97.3</v>
      </c>
      <c r="F918" s="3">
        <v>44131</v>
      </c>
      <c r="G918" s="2" t="str">
        <f t="shared" si="42"/>
        <v>October</v>
      </c>
      <c r="H918" s="2" t="str">
        <f t="shared" si="43"/>
        <v>Week 5</v>
      </c>
      <c r="I918" s="2" t="str">
        <f t="shared" si="44"/>
        <v>Quarter 4</v>
      </c>
    </row>
    <row r="919" spans="1:9" x14ac:dyDescent="0.25">
      <c r="A919">
        <v>2000086454</v>
      </c>
      <c r="B919" t="s">
        <v>27</v>
      </c>
      <c r="C919" t="s">
        <v>21</v>
      </c>
      <c r="D919">
        <v>94.64</v>
      </c>
      <c r="F919" s="3">
        <v>44131</v>
      </c>
      <c r="G919" s="2" t="str">
        <f t="shared" si="42"/>
        <v>October</v>
      </c>
      <c r="H919" s="2" t="str">
        <f t="shared" si="43"/>
        <v>Week 5</v>
      </c>
      <c r="I919" s="2" t="str">
        <f t="shared" si="44"/>
        <v>Quarter 4</v>
      </c>
    </row>
    <row r="920" spans="1:9" x14ac:dyDescent="0.25">
      <c r="A920">
        <v>2000086422</v>
      </c>
      <c r="B920" t="s">
        <v>27</v>
      </c>
      <c r="C920" t="s">
        <v>11</v>
      </c>
      <c r="D920">
        <v>10.25</v>
      </c>
      <c r="F920" s="3">
        <v>44131</v>
      </c>
      <c r="G920" s="2" t="str">
        <f t="shared" si="42"/>
        <v>October</v>
      </c>
      <c r="H920" s="2" t="str">
        <f t="shared" si="43"/>
        <v>Week 5</v>
      </c>
      <c r="I920" s="2" t="str">
        <f t="shared" si="44"/>
        <v>Quarter 4</v>
      </c>
    </row>
    <row r="921" spans="1:9" x14ac:dyDescent="0.25">
      <c r="A921">
        <v>2000086638</v>
      </c>
      <c r="B921" t="s">
        <v>27</v>
      </c>
      <c r="C921" t="s">
        <v>30</v>
      </c>
      <c r="D921">
        <v>37.799999999999997</v>
      </c>
      <c r="F921" s="3">
        <v>44131</v>
      </c>
      <c r="G921" s="2" t="str">
        <f t="shared" si="42"/>
        <v>October</v>
      </c>
      <c r="H921" s="2" t="str">
        <f t="shared" si="43"/>
        <v>Week 5</v>
      </c>
      <c r="I921" s="2" t="str">
        <f t="shared" si="44"/>
        <v>Quarter 4</v>
      </c>
    </row>
    <row r="922" spans="1:9" x14ac:dyDescent="0.25">
      <c r="A922">
        <v>2000086638</v>
      </c>
      <c r="B922" t="s">
        <v>27</v>
      </c>
      <c r="C922" t="s">
        <v>30</v>
      </c>
      <c r="D922">
        <v>200</v>
      </c>
      <c r="F922" s="3">
        <v>44131</v>
      </c>
      <c r="G922" s="2" t="str">
        <f t="shared" si="42"/>
        <v>October</v>
      </c>
      <c r="H922" s="2" t="str">
        <f t="shared" si="43"/>
        <v>Week 5</v>
      </c>
      <c r="I922" s="2" t="str">
        <f t="shared" si="44"/>
        <v>Quarter 4</v>
      </c>
    </row>
    <row r="923" spans="1:9" x14ac:dyDescent="0.25">
      <c r="A923">
        <v>2000086638</v>
      </c>
      <c r="B923" t="s">
        <v>27</v>
      </c>
      <c r="C923" t="s">
        <v>30</v>
      </c>
      <c r="D923">
        <v>237.75</v>
      </c>
      <c r="F923" s="3">
        <v>44131</v>
      </c>
      <c r="G923" s="2" t="str">
        <f t="shared" si="42"/>
        <v>October</v>
      </c>
      <c r="H923" s="2" t="str">
        <f t="shared" si="43"/>
        <v>Week 5</v>
      </c>
      <c r="I923" s="2" t="str">
        <f t="shared" si="44"/>
        <v>Quarter 4</v>
      </c>
    </row>
    <row r="924" spans="1:9" x14ac:dyDescent="0.25">
      <c r="A924">
        <v>2000086638</v>
      </c>
      <c r="B924" t="s">
        <v>27</v>
      </c>
      <c r="C924" t="s">
        <v>30</v>
      </c>
      <c r="D924">
        <v>86.95</v>
      </c>
      <c r="F924" s="3">
        <v>44131</v>
      </c>
      <c r="G924" s="2" t="str">
        <f t="shared" si="42"/>
        <v>October</v>
      </c>
      <c r="H924" s="2" t="str">
        <f t="shared" si="43"/>
        <v>Week 5</v>
      </c>
      <c r="I924" s="2" t="str">
        <f t="shared" si="44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2020-10-26T23:20:39Z</dcterms:modified>
</cp:coreProperties>
</file>