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8F440D7D-244D-4BF2-95C8-77E66BC41379}" xr6:coauthVersionLast="45" xr6:coauthVersionMax="45" xr10:uidLastSave="{00000000-0000-0000-0000-000000000000}"/>
  <bookViews>
    <workbookView xWindow="1170" yWindow="1170" windowWidth="15375" windowHeight="6810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2" i="62"/>
</calcChain>
</file>

<file path=xl/sharedStrings.xml><?xml version="1.0" encoding="utf-8"?>
<sst xmlns="http://schemas.openxmlformats.org/spreadsheetml/2006/main" count="720" uniqueCount="22">
  <si>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</si>
  <si>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</si>
  <si>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</si>
  <si>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</si>
  <si>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</si>
  <si>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</si>
  <si>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</si>
  <si>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</si>
  <si>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</si>
  <si>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SITIBOT</t>
  </si>
  <si>
    <t>0100FIAR7001</t>
  </si>
  <si>
    <t>0100FIAR3004</t>
  </si>
  <si>
    <t>0100FIAR7006</t>
  </si>
  <si>
    <t>0100FIAR7007</t>
  </si>
  <si>
    <t>0106FIAC7012</t>
  </si>
  <si>
    <t>0100FIAR7028</t>
  </si>
  <si>
    <t>amie adlina</t>
  </si>
  <si>
    <t>0100FIAR7011</t>
  </si>
  <si>
    <t>MUIZ</t>
  </si>
  <si>
    <t>VA Acc</t>
  </si>
  <si>
    <t>0111FIAC7005</t>
  </si>
  <si>
    <t>0114FIAC7011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</si>
</sst>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437"/>
  <sheetViews>
    <sheetView tabSelected="1" workbookViewId="0">
      <selection activeCell="I2" sqref="I2:I437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2800063173</v>
      </c>
      <c r="B2">
        <v>271351</v>
      </c>
      <c r="C2" t="s">
        <v>9</v>
      </c>
      <c r="D2">
        <v>104.15</v>
      </c>
      <c r="F2" s="3">
        <v>44127</v>
      </c>
      <c r="G2" t="str">
        <f>TEXT(F2,"mmmm")</f>
        <v>October</v>
      </c>
      <c r="H2" t="str">
        <f>"Week "&amp;((WEEKNUM(F2)-WEEKNUM(DATE(YEAR(F2),MONTH(F2),1))+1))</f>
        <v>Week 4</v>
      </c>
      <c r="I2" t="str">
        <f>"Quarter " &amp; ROUNDUP((MONTH(F2))/3,0)</f>
        <v>Quarter 4</v>
      </c>
    </row>
    <row r="3" spans="1:9" x14ac:dyDescent="0.25">
      <c r="A3">
        <v>2800063174</v>
      </c>
      <c r="B3">
        <v>271351</v>
      </c>
      <c r="C3" t="s">
        <v>9</v>
      </c>
      <c r="D3">
        <v>84.55</v>
      </c>
      <c r="F3" s="3">
        <v>44127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4</v>
      </c>
      <c r="I3" s="2" t="str">
        <f t="shared" ref="I3:I66" si="2">"Quarter " &amp; ROUNDUP((MONTH(F3))/3,0)</f>
        <v>Quarter 4</v>
      </c>
    </row>
    <row r="4" spans="1:9" x14ac:dyDescent="0.25">
      <c r="A4">
        <v>2800063175</v>
      </c>
      <c r="B4">
        <v>271351</v>
      </c>
      <c r="C4" t="s">
        <v>9</v>
      </c>
      <c r="D4">
        <v>66.8</v>
      </c>
      <c r="F4" s="3">
        <v>44127</v>
      </c>
      <c r="G4" s="2" t="str">
        <f t="shared" si="0"/>
        <v>October</v>
      </c>
      <c r="H4" s="2" t="str">
        <f t="shared" si="1"/>
        <v>Week 4</v>
      </c>
      <c r="I4" s="2" t="str">
        <f t="shared" si="2"/>
        <v>Quarter 4</v>
      </c>
    </row>
    <row r="5" spans="1:9" x14ac:dyDescent="0.25">
      <c r="A5">
        <v>2800063176</v>
      </c>
      <c r="B5">
        <v>271351</v>
      </c>
      <c r="C5" t="s">
        <v>9</v>
      </c>
      <c r="D5">
        <v>91.2</v>
      </c>
      <c r="F5" s="3">
        <v>44127</v>
      </c>
      <c r="G5" s="2" t="str">
        <f t="shared" si="0"/>
        <v>October</v>
      </c>
      <c r="H5" s="2" t="str">
        <f t="shared" si="1"/>
        <v>Week 4</v>
      </c>
      <c r="I5" s="2" t="str">
        <f t="shared" si="2"/>
        <v>Quarter 4</v>
      </c>
    </row>
    <row r="6" spans="1:9" x14ac:dyDescent="0.25">
      <c r="A6">
        <v>2800063178</v>
      </c>
      <c r="B6">
        <v>271351</v>
      </c>
      <c r="C6" t="s">
        <v>9</v>
      </c>
      <c r="D6">
        <v>186.05</v>
      </c>
      <c r="F6" s="3">
        <v>44127</v>
      </c>
      <c r="G6" s="2" t="str">
        <f t="shared" si="0"/>
        <v>October</v>
      </c>
      <c r="H6" s="2" t="str">
        <f t="shared" si="1"/>
        <v>Week 4</v>
      </c>
      <c r="I6" s="2" t="str">
        <f t="shared" si="2"/>
        <v>Quarter 4</v>
      </c>
    </row>
    <row r="7" spans="1:9" x14ac:dyDescent="0.25">
      <c r="A7">
        <v>2800063179</v>
      </c>
      <c r="B7">
        <v>271351</v>
      </c>
      <c r="C7" t="s">
        <v>9</v>
      </c>
      <c r="D7">
        <v>105.95</v>
      </c>
      <c r="F7" s="3">
        <v>44127</v>
      </c>
      <c r="G7" s="2" t="str">
        <f t="shared" si="0"/>
        <v>October</v>
      </c>
      <c r="H7" s="2" t="str">
        <f t="shared" si="1"/>
        <v>Week 4</v>
      </c>
      <c r="I7" s="2" t="str">
        <f t="shared" si="2"/>
        <v>Quarter 4</v>
      </c>
    </row>
    <row r="8" spans="1:9" x14ac:dyDescent="0.25">
      <c r="A8">
        <v>2800063177</v>
      </c>
      <c r="B8">
        <v>273114</v>
      </c>
      <c r="C8" t="s">
        <v>9</v>
      </c>
      <c r="D8">
        <v>45.45</v>
      </c>
      <c r="F8" s="3">
        <v>44127</v>
      </c>
      <c r="G8" s="2" t="str">
        <f t="shared" si="0"/>
        <v>October</v>
      </c>
      <c r="H8" s="2" t="str">
        <f t="shared" si="1"/>
        <v>Week 4</v>
      </c>
      <c r="I8" s="2" t="str">
        <f t="shared" si="2"/>
        <v>Quarter 4</v>
      </c>
    </row>
    <row r="9" spans="1:9" x14ac:dyDescent="0.25">
      <c r="A9">
        <v>2800062991</v>
      </c>
      <c r="B9">
        <v>271151</v>
      </c>
      <c r="C9" t="s">
        <v>10</v>
      </c>
      <c r="D9">
        <v>1750</v>
      </c>
      <c r="F9" s="3">
        <v>44127</v>
      </c>
      <c r="G9" s="2" t="str">
        <f t="shared" si="0"/>
        <v>October</v>
      </c>
      <c r="H9" s="2" t="str">
        <f t="shared" si="1"/>
        <v>Week 4</v>
      </c>
      <c r="I9" s="2" t="str">
        <f t="shared" si="2"/>
        <v>Quarter 4</v>
      </c>
    </row>
    <row r="10" spans="1:9" x14ac:dyDescent="0.25">
      <c r="A10">
        <v>2800062992</v>
      </c>
      <c r="B10">
        <v>271151</v>
      </c>
      <c r="C10" t="s">
        <v>10</v>
      </c>
      <c r="D10">
        <v>1200</v>
      </c>
      <c r="F10" s="3">
        <v>44127</v>
      </c>
      <c r="G10" s="2" t="str">
        <f t="shared" si="0"/>
        <v>October</v>
      </c>
      <c r="H10" s="2" t="str">
        <f t="shared" si="1"/>
        <v>Week 4</v>
      </c>
      <c r="I10" s="2" t="str">
        <f t="shared" si="2"/>
        <v>Quarter 4</v>
      </c>
    </row>
    <row r="11" spans="1:9" x14ac:dyDescent="0.25">
      <c r="A11">
        <v>2800062993</v>
      </c>
      <c r="B11">
        <v>271151</v>
      </c>
      <c r="C11" t="s">
        <v>10</v>
      </c>
      <c r="D11">
        <v>600</v>
      </c>
      <c r="F11" s="3">
        <v>44127</v>
      </c>
      <c r="G11" s="2" t="str">
        <f t="shared" si="0"/>
        <v>October</v>
      </c>
      <c r="H11" s="2" t="str">
        <f t="shared" si="1"/>
        <v>Week 4</v>
      </c>
      <c r="I11" s="2" t="str">
        <f t="shared" si="2"/>
        <v>Quarter 4</v>
      </c>
    </row>
    <row r="12" spans="1:9" x14ac:dyDescent="0.25">
      <c r="A12">
        <v>2800063172</v>
      </c>
      <c r="B12">
        <v>271151</v>
      </c>
      <c r="C12" t="s">
        <v>11</v>
      </c>
      <c r="D12">
        <v>9030</v>
      </c>
      <c r="F12" s="3">
        <v>44127</v>
      </c>
      <c r="G12" s="2" t="str">
        <f t="shared" si="0"/>
        <v>October</v>
      </c>
      <c r="H12" s="2" t="str">
        <f t="shared" si="1"/>
        <v>Week 4</v>
      </c>
      <c r="I12" s="2" t="str">
        <f t="shared" si="2"/>
        <v>Quarter 4</v>
      </c>
    </row>
    <row r="13" spans="1:9" x14ac:dyDescent="0.25">
      <c r="A13">
        <v>2800063002</v>
      </c>
      <c r="B13">
        <v>271351</v>
      </c>
      <c r="C13" t="s">
        <v>12</v>
      </c>
      <c r="D13">
        <v>1702.9</v>
      </c>
      <c r="F13" s="3">
        <v>44127</v>
      </c>
      <c r="G13" s="2" t="str">
        <f t="shared" si="0"/>
        <v>October</v>
      </c>
      <c r="H13" s="2" t="str">
        <f t="shared" si="1"/>
        <v>Week 4</v>
      </c>
      <c r="I13" s="2" t="str">
        <f t="shared" si="2"/>
        <v>Quarter 4</v>
      </c>
    </row>
    <row r="14" spans="1:9" x14ac:dyDescent="0.25">
      <c r="A14">
        <v>2800063003</v>
      </c>
      <c r="B14">
        <v>271351</v>
      </c>
      <c r="C14" t="s">
        <v>12</v>
      </c>
      <c r="D14">
        <v>1451.65</v>
      </c>
      <c r="F14" s="3">
        <v>44127</v>
      </c>
      <c r="G14" s="2" t="str">
        <f t="shared" si="0"/>
        <v>October</v>
      </c>
      <c r="H14" s="2" t="str">
        <f t="shared" si="1"/>
        <v>Week 4</v>
      </c>
      <c r="I14" s="2" t="str">
        <f t="shared" si="2"/>
        <v>Quarter 4</v>
      </c>
    </row>
    <row r="15" spans="1:9" x14ac:dyDescent="0.25">
      <c r="A15">
        <v>2800063004</v>
      </c>
      <c r="B15">
        <v>271351</v>
      </c>
      <c r="C15" t="s">
        <v>12</v>
      </c>
      <c r="D15">
        <v>1066.6500000000001</v>
      </c>
      <c r="F15" s="3">
        <v>44127</v>
      </c>
      <c r="G15" s="2" t="str">
        <f t="shared" si="0"/>
        <v>October</v>
      </c>
      <c r="H15" s="2" t="str">
        <f t="shared" si="1"/>
        <v>Week 4</v>
      </c>
      <c r="I15" s="2" t="str">
        <f t="shared" si="2"/>
        <v>Quarter 4</v>
      </c>
    </row>
    <row r="16" spans="1:9" x14ac:dyDescent="0.25">
      <c r="A16">
        <v>2800063005</v>
      </c>
      <c r="B16">
        <v>271351</v>
      </c>
      <c r="C16" t="s">
        <v>13</v>
      </c>
      <c r="D16">
        <v>333.15</v>
      </c>
      <c r="F16" s="3">
        <v>44127</v>
      </c>
      <c r="G16" s="2" t="str">
        <f t="shared" si="0"/>
        <v>October</v>
      </c>
      <c r="H16" s="2" t="str">
        <f t="shared" si="1"/>
        <v>Week 4</v>
      </c>
      <c r="I16" s="2" t="str">
        <f t="shared" si="2"/>
        <v>Quarter 4</v>
      </c>
    </row>
    <row r="17" spans="1:9" x14ac:dyDescent="0.25">
      <c r="A17">
        <v>2800063006</v>
      </c>
      <c r="B17">
        <v>271351</v>
      </c>
      <c r="C17" t="s">
        <v>13</v>
      </c>
      <c r="D17">
        <v>429.3</v>
      </c>
      <c r="F17" s="3">
        <v>44127</v>
      </c>
      <c r="G17" s="2" t="str">
        <f t="shared" si="0"/>
        <v>October</v>
      </c>
      <c r="H17" s="2" t="str">
        <f t="shared" si="1"/>
        <v>Week 4</v>
      </c>
      <c r="I17" s="2" t="str">
        <f t="shared" si="2"/>
        <v>Quarter 4</v>
      </c>
    </row>
    <row r="18" spans="1:9" x14ac:dyDescent="0.25">
      <c r="A18">
        <v>2800063007</v>
      </c>
      <c r="B18">
        <v>271351</v>
      </c>
      <c r="C18" t="s">
        <v>13</v>
      </c>
      <c r="D18">
        <v>105.75</v>
      </c>
      <c r="F18" s="3">
        <v>44127</v>
      </c>
      <c r="G18" s="2" t="str">
        <f t="shared" si="0"/>
        <v>October</v>
      </c>
      <c r="H18" s="2" t="str">
        <f t="shared" si="1"/>
        <v>Week 4</v>
      </c>
      <c r="I18" s="2" t="str">
        <f t="shared" si="2"/>
        <v>Quarter 4</v>
      </c>
    </row>
    <row r="19" spans="1:9" x14ac:dyDescent="0.25">
      <c r="A19">
        <v>2800063008</v>
      </c>
      <c r="B19">
        <v>271351</v>
      </c>
      <c r="C19" t="s">
        <v>13</v>
      </c>
      <c r="D19">
        <v>668.05</v>
      </c>
      <c r="F19" s="3">
        <v>44127</v>
      </c>
      <c r="G19" s="2" t="str">
        <f t="shared" si="0"/>
        <v>October</v>
      </c>
      <c r="H19" s="2" t="str">
        <f t="shared" si="1"/>
        <v>Week 4</v>
      </c>
      <c r="I19" s="2" t="str">
        <f t="shared" si="2"/>
        <v>Quarter 4</v>
      </c>
    </row>
    <row r="20" spans="1:9" x14ac:dyDescent="0.25">
      <c r="A20">
        <v>2800063009</v>
      </c>
      <c r="B20">
        <v>271351</v>
      </c>
      <c r="C20" t="s">
        <v>13</v>
      </c>
      <c r="D20">
        <v>575.04999999999995</v>
      </c>
      <c r="F20" s="3">
        <v>44127</v>
      </c>
      <c r="G20" s="2" t="str">
        <f t="shared" si="0"/>
        <v>October</v>
      </c>
      <c r="H20" s="2" t="str">
        <f t="shared" si="1"/>
        <v>Week 4</v>
      </c>
      <c r="I20" s="2" t="str">
        <f t="shared" si="2"/>
        <v>Quarter 4</v>
      </c>
    </row>
    <row r="21" spans="1:9" x14ac:dyDescent="0.25">
      <c r="A21">
        <v>2800063010</v>
      </c>
      <c r="B21">
        <v>271351</v>
      </c>
      <c r="C21" t="s">
        <v>13</v>
      </c>
      <c r="D21">
        <v>49.8</v>
      </c>
      <c r="F21" s="3">
        <v>44127</v>
      </c>
      <c r="G21" s="2" t="str">
        <f t="shared" si="0"/>
        <v>October</v>
      </c>
      <c r="H21" s="2" t="str">
        <f t="shared" si="1"/>
        <v>Week 4</v>
      </c>
      <c r="I21" s="2" t="str">
        <f t="shared" si="2"/>
        <v>Quarter 4</v>
      </c>
    </row>
    <row r="22" spans="1:9" x14ac:dyDescent="0.25">
      <c r="A22">
        <v>2800063011</v>
      </c>
      <c r="B22">
        <v>271351</v>
      </c>
      <c r="C22" t="s">
        <v>13</v>
      </c>
      <c r="D22">
        <v>6.35</v>
      </c>
      <c r="F22" s="3">
        <v>44127</v>
      </c>
      <c r="G22" s="2" t="str">
        <f t="shared" si="0"/>
        <v>October</v>
      </c>
      <c r="H22" s="2" t="str">
        <f t="shared" si="1"/>
        <v>Week 4</v>
      </c>
      <c r="I22" s="2" t="str">
        <f t="shared" si="2"/>
        <v>Quarter 4</v>
      </c>
    </row>
    <row r="23" spans="1:9" x14ac:dyDescent="0.25">
      <c r="A23">
        <v>2800063012</v>
      </c>
      <c r="B23">
        <v>271351</v>
      </c>
      <c r="C23" t="s">
        <v>13</v>
      </c>
      <c r="D23">
        <v>159.80000000000001</v>
      </c>
      <c r="F23" s="3">
        <v>44127</v>
      </c>
      <c r="G23" s="2" t="str">
        <f t="shared" si="0"/>
        <v>October</v>
      </c>
      <c r="H23" s="2" t="str">
        <f t="shared" si="1"/>
        <v>Week 4</v>
      </c>
      <c r="I23" s="2" t="str">
        <f t="shared" si="2"/>
        <v>Quarter 4</v>
      </c>
    </row>
    <row r="24" spans="1:9" x14ac:dyDescent="0.25">
      <c r="A24">
        <v>2800063013</v>
      </c>
      <c r="B24">
        <v>271351</v>
      </c>
      <c r="C24" t="s">
        <v>13</v>
      </c>
      <c r="D24">
        <v>31.45</v>
      </c>
      <c r="F24" s="3">
        <v>44127</v>
      </c>
      <c r="G24" s="2" t="str">
        <f t="shared" si="0"/>
        <v>October</v>
      </c>
      <c r="H24" s="2" t="str">
        <f t="shared" si="1"/>
        <v>Week 4</v>
      </c>
      <c r="I24" s="2" t="str">
        <f t="shared" si="2"/>
        <v>Quarter 4</v>
      </c>
    </row>
    <row r="25" spans="1:9" x14ac:dyDescent="0.25">
      <c r="A25">
        <v>2800063014</v>
      </c>
      <c r="B25">
        <v>271351</v>
      </c>
      <c r="C25" t="s">
        <v>12</v>
      </c>
      <c r="D25">
        <v>993.5</v>
      </c>
      <c r="F25" s="3">
        <v>44127</v>
      </c>
      <c r="G25" s="2" t="str">
        <f t="shared" si="0"/>
        <v>October</v>
      </c>
      <c r="H25" s="2" t="str">
        <f t="shared" si="1"/>
        <v>Week 4</v>
      </c>
      <c r="I25" s="2" t="str">
        <f t="shared" si="2"/>
        <v>Quarter 4</v>
      </c>
    </row>
    <row r="26" spans="1:9" x14ac:dyDescent="0.25">
      <c r="A26">
        <v>2800063015</v>
      </c>
      <c r="B26">
        <v>271351</v>
      </c>
      <c r="C26" t="s">
        <v>12</v>
      </c>
      <c r="D26">
        <v>969.1</v>
      </c>
      <c r="F26" s="3">
        <v>44127</v>
      </c>
      <c r="G26" s="2" t="str">
        <f t="shared" si="0"/>
        <v>October</v>
      </c>
      <c r="H26" s="2" t="str">
        <f t="shared" si="1"/>
        <v>Week 4</v>
      </c>
      <c r="I26" s="2" t="str">
        <f t="shared" si="2"/>
        <v>Quarter 4</v>
      </c>
    </row>
    <row r="27" spans="1:9" x14ac:dyDescent="0.25">
      <c r="A27">
        <v>2800063016</v>
      </c>
      <c r="B27">
        <v>271351</v>
      </c>
      <c r="C27" t="s">
        <v>12</v>
      </c>
      <c r="D27">
        <v>789.15</v>
      </c>
      <c r="F27" s="3">
        <v>44127</v>
      </c>
      <c r="G27" s="2" t="str">
        <f t="shared" si="0"/>
        <v>October</v>
      </c>
      <c r="H27" s="2" t="str">
        <f t="shared" si="1"/>
        <v>Week 4</v>
      </c>
      <c r="I27" s="2" t="str">
        <f t="shared" si="2"/>
        <v>Quarter 4</v>
      </c>
    </row>
    <row r="28" spans="1:9" x14ac:dyDescent="0.25">
      <c r="A28">
        <v>2800063017</v>
      </c>
      <c r="B28">
        <v>271351</v>
      </c>
      <c r="C28" t="s">
        <v>12</v>
      </c>
      <c r="D28">
        <v>621.4</v>
      </c>
      <c r="F28" s="3">
        <v>44127</v>
      </c>
      <c r="G28" s="2" t="str">
        <f t="shared" si="0"/>
        <v>October</v>
      </c>
      <c r="H28" s="2" t="str">
        <f t="shared" si="1"/>
        <v>Week 4</v>
      </c>
      <c r="I28" s="2" t="str">
        <f t="shared" si="2"/>
        <v>Quarter 4</v>
      </c>
    </row>
    <row r="29" spans="1:9" x14ac:dyDescent="0.25">
      <c r="A29">
        <v>2800063021</v>
      </c>
      <c r="B29">
        <v>271351</v>
      </c>
      <c r="C29" t="s">
        <v>12</v>
      </c>
      <c r="D29">
        <v>507.6</v>
      </c>
      <c r="F29" s="3">
        <v>44127</v>
      </c>
      <c r="G29" s="2" t="str">
        <f t="shared" si="0"/>
        <v>October</v>
      </c>
      <c r="H29" s="2" t="str">
        <f t="shared" si="1"/>
        <v>Week 4</v>
      </c>
      <c r="I29" s="2" t="str">
        <f t="shared" si="2"/>
        <v>Quarter 4</v>
      </c>
    </row>
    <row r="30" spans="1:9" x14ac:dyDescent="0.25">
      <c r="A30">
        <v>2800063023</v>
      </c>
      <c r="B30">
        <v>271351</v>
      </c>
      <c r="C30" t="s">
        <v>12</v>
      </c>
      <c r="D30">
        <v>454.5</v>
      </c>
      <c r="F30" s="3">
        <v>44127</v>
      </c>
      <c r="G30" s="2" t="str">
        <f t="shared" si="0"/>
        <v>October</v>
      </c>
      <c r="H30" s="2" t="str">
        <f t="shared" si="1"/>
        <v>Week 4</v>
      </c>
      <c r="I30" s="2" t="str">
        <f t="shared" si="2"/>
        <v>Quarter 4</v>
      </c>
    </row>
    <row r="31" spans="1:9" x14ac:dyDescent="0.25">
      <c r="A31">
        <v>2800063026</v>
      </c>
      <c r="B31">
        <v>271351</v>
      </c>
      <c r="C31" t="s">
        <v>12</v>
      </c>
      <c r="D31">
        <v>439.9</v>
      </c>
      <c r="F31" s="3">
        <v>44127</v>
      </c>
      <c r="G31" s="2" t="str">
        <f t="shared" si="0"/>
        <v>October</v>
      </c>
      <c r="H31" s="2" t="str">
        <f t="shared" si="1"/>
        <v>Week 4</v>
      </c>
      <c r="I31" s="2" t="str">
        <f t="shared" si="2"/>
        <v>Quarter 4</v>
      </c>
    </row>
    <row r="32" spans="1:9" x14ac:dyDescent="0.25">
      <c r="A32">
        <v>2800063027</v>
      </c>
      <c r="B32">
        <v>271351</v>
      </c>
      <c r="C32" t="s">
        <v>12</v>
      </c>
      <c r="D32">
        <v>374.2</v>
      </c>
      <c r="F32" s="3">
        <v>44127</v>
      </c>
      <c r="G32" s="2" t="str">
        <f t="shared" si="0"/>
        <v>October</v>
      </c>
      <c r="H32" s="2" t="str">
        <f t="shared" si="1"/>
        <v>Week 4</v>
      </c>
      <c r="I32" s="2" t="str">
        <f t="shared" si="2"/>
        <v>Quarter 4</v>
      </c>
    </row>
    <row r="33" spans="1:9" x14ac:dyDescent="0.25">
      <c r="A33">
        <v>2800063028</v>
      </c>
      <c r="B33">
        <v>271351</v>
      </c>
      <c r="C33" t="s">
        <v>12</v>
      </c>
      <c r="D33">
        <v>322.8</v>
      </c>
      <c r="F33" s="3">
        <v>44127</v>
      </c>
      <c r="G33" s="2" t="str">
        <f t="shared" si="0"/>
        <v>October</v>
      </c>
      <c r="H33" s="2" t="str">
        <f t="shared" si="1"/>
        <v>Week 4</v>
      </c>
      <c r="I33" s="2" t="str">
        <f t="shared" si="2"/>
        <v>Quarter 4</v>
      </c>
    </row>
    <row r="34" spans="1:9" x14ac:dyDescent="0.25">
      <c r="A34">
        <v>2800063029</v>
      </c>
      <c r="B34">
        <v>271351</v>
      </c>
      <c r="C34" t="s">
        <v>12</v>
      </c>
      <c r="D34">
        <v>292.3</v>
      </c>
      <c r="F34" s="3">
        <v>44127</v>
      </c>
      <c r="G34" s="2" t="str">
        <f t="shared" si="0"/>
        <v>October</v>
      </c>
      <c r="H34" s="2" t="str">
        <f t="shared" si="1"/>
        <v>Week 4</v>
      </c>
      <c r="I34" s="2" t="str">
        <f t="shared" si="2"/>
        <v>Quarter 4</v>
      </c>
    </row>
    <row r="35" spans="1:9" x14ac:dyDescent="0.25">
      <c r="A35">
        <v>2800063030</v>
      </c>
      <c r="B35">
        <v>271351</v>
      </c>
      <c r="C35" t="s">
        <v>12</v>
      </c>
      <c r="D35">
        <v>289.64999999999998</v>
      </c>
      <c r="F35" s="3">
        <v>44127</v>
      </c>
      <c r="G35" s="2" t="str">
        <f t="shared" si="0"/>
        <v>October</v>
      </c>
      <c r="H35" s="2" t="str">
        <f t="shared" si="1"/>
        <v>Week 4</v>
      </c>
      <c r="I35" s="2" t="str">
        <f t="shared" si="2"/>
        <v>Quarter 4</v>
      </c>
    </row>
    <row r="36" spans="1:9" x14ac:dyDescent="0.25">
      <c r="A36">
        <v>2800063031</v>
      </c>
      <c r="B36">
        <v>271351</v>
      </c>
      <c r="C36" t="s">
        <v>12</v>
      </c>
      <c r="D36">
        <v>277.45</v>
      </c>
      <c r="F36" s="3">
        <v>44127</v>
      </c>
      <c r="G36" s="2" t="str">
        <f t="shared" si="0"/>
        <v>October</v>
      </c>
      <c r="H36" s="2" t="str">
        <f t="shared" si="1"/>
        <v>Week 4</v>
      </c>
      <c r="I36" s="2" t="str">
        <f t="shared" si="2"/>
        <v>Quarter 4</v>
      </c>
    </row>
    <row r="37" spans="1:9" x14ac:dyDescent="0.25">
      <c r="A37">
        <v>2800063032</v>
      </c>
      <c r="B37">
        <v>271351</v>
      </c>
      <c r="C37" t="s">
        <v>12</v>
      </c>
      <c r="D37">
        <v>272.8</v>
      </c>
      <c r="F37" s="3">
        <v>44127</v>
      </c>
      <c r="G37" s="2" t="str">
        <f t="shared" si="0"/>
        <v>October</v>
      </c>
      <c r="H37" s="2" t="str">
        <f t="shared" si="1"/>
        <v>Week 4</v>
      </c>
      <c r="I37" s="2" t="str">
        <f t="shared" si="2"/>
        <v>Quarter 4</v>
      </c>
    </row>
    <row r="38" spans="1:9" x14ac:dyDescent="0.25">
      <c r="A38">
        <v>2800063033</v>
      </c>
      <c r="B38">
        <v>271351</v>
      </c>
      <c r="C38" t="s">
        <v>12</v>
      </c>
      <c r="D38">
        <v>263.39999999999998</v>
      </c>
      <c r="F38" s="3">
        <v>44127</v>
      </c>
      <c r="G38" s="2" t="str">
        <f t="shared" si="0"/>
        <v>October</v>
      </c>
      <c r="H38" s="2" t="str">
        <f t="shared" si="1"/>
        <v>Week 4</v>
      </c>
      <c r="I38" s="2" t="str">
        <f t="shared" si="2"/>
        <v>Quarter 4</v>
      </c>
    </row>
    <row r="39" spans="1:9" x14ac:dyDescent="0.25">
      <c r="A39">
        <v>2800063034</v>
      </c>
      <c r="B39">
        <v>271351</v>
      </c>
      <c r="C39" t="s">
        <v>12</v>
      </c>
      <c r="D39">
        <v>240.65</v>
      </c>
      <c r="F39" s="3">
        <v>44127</v>
      </c>
      <c r="G39" s="2" t="str">
        <f t="shared" si="0"/>
        <v>October</v>
      </c>
      <c r="H39" s="2" t="str">
        <f t="shared" si="1"/>
        <v>Week 4</v>
      </c>
      <c r="I39" s="2" t="str">
        <f t="shared" si="2"/>
        <v>Quarter 4</v>
      </c>
    </row>
    <row r="40" spans="1:9" x14ac:dyDescent="0.25">
      <c r="A40">
        <v>2800063035</v>
      </c>
      <c r="B40">
        <v>271351</v>
      </c>
      <c r="C40" t="s">
        <v>12</v>
      </c>
      <c r="D40">
        <v>239.85</v>
      </c>
      <c r="F40" s="3">
        <v>44127</v>
      </c>
      <c r="G40" s="2" t="str">
        <f t="shared" si="0"/>
        <v>October</v>
      </c>
      <c r="H40" s="2" t="str">
        <f t="shared" si="1"/>
        <v>Week 4</v>
      </c>
      <c r="I40" s="2" t="str">
        <f t="shared" si="2"/>
        <v>Quarter 4</v>
      </c>
    </row>
    <row r="41" spans="1:9" x14ac:dyDescent="0.25">
      <c r="A41">
        <v>2800063036</v>
      </c>
      <c r="B41">
        <v>271351</v>
      </c>
      <c r="C41" t="s">
        <v>12</v>
      </c>
      <c r="D41">
        <v>208.6</v>
      </c>
      <c r="F41" s="3">
        <v>44127</v>
      </c>
      <c r="G41" s="2" t="str">
        <f t="shared" si="0"/>
        <v>October</v>
      </c>
      <c r="H41" s="2" t="str">
        <f t="shared" si="1"/>
        <v>Week 4</v>
      </c>
      <c r="I41" s="2" t="str">
        <f t="shared" si="2"/>
        <v>Quarter 4</v>
      </c>
    </row>
    <row r="42" spans="1:9" x14ac:dyDescent="0.25">
      <c r="A42">
        <v>2800063037</v>
      </c>
      <c r="B42">
        <v>271351</v>
      </c>
      <c r="C42" t="s">
        <v>12</v>
      </c>
      <c r="D42">
        <v>198.2</v>
      </c>
      <c r="F42" s="3">
        <v>44127</v>
      </c>
      <c r="G42" s="2" t="str">
        <f t="shared" si="0"/>
        <v>October</v>
      </c>
      <c r="H42" s="2" t="str">
        <f t="shared" si="1"/>
        <v>Week 4</v>
      </c>
      <c r="I42" s="2" t="str">
        <f t="shared" si="2"/>
        <v>Quarter 4</v>
      </c>
    </row>
    <row r="43" spans="1:9" x14ac:dyDescent="0.25">
      <c r="A43">
        <v>2800063038</v>
      </c>
      <c r="B43">
        <v>271351</v>
      </c>
      <c r="C43" t="s">
        <v>12</v>
      </c>
      <c r="D43">
        <v>195.3</v>
      </c>
      <c r="F43" s="3">
        <v>44127</v>
      </c>
      <c r="G43" s="2" t="str">
        <f t="shared" si="0"/>
        <v>October</v>
      </c>
      <c r="H43" s="2" t="str">
        <f t="shared" si="1"/>
        <v>Week 4</v>
      </c>
      <c r="I43" s="2" t="str">
        <f t="shared" si="2"/>
        <v>Quarter 4</v>
      </c>
    </row>
    <row r="44" spans="1:9" x14ac:dyDescent="0.25">
      <c r="A44">
        <v>2800063039</v>
      </c>
      <c r="B44">
        <v>271351</v>
      </c>
      <c r="C44" t="s">
        <v>12</v>
      </c>
      <c r="D44">
        <v>195.05</v>
      </c>
      <c r="F44" s="3">
        <v>44127</v>
      </c>
      <c r="G44" s="2" t="str">
        <f t="shared" si="0"/>
        <v>October</v>
      </c>
      <c r="H44" s="2" t="str">
        <f t="shared" si="1"/>
        <v>Week 4</v>
      </c>
      <c r="I44" s="2" t="str">
        <f t="shared" si="2"/>
        <v>Quarter 4</v>
      </c>
    </row>
    <row r="45" spans="1:9" x14ac:dyDescent="0.25">
      <c r="A45">
        <v>2800063040</v>
      </c>
      <c r="B45">
        <v>271351</v>
      </c>
      <c r="C45" t="s">
        <v>12</v>
      </c>
      <c r="D45">
        <v>162.19999999999999</v>
      </c>
      <c r="F45" s="3">
        <v>44127</v>
      </c>
      <c r="G45" s="2" t="str">
        <f t="shared" si="0"/>
        <v>October</v>
      </c>
      <c r="H45" s="2" t="str">
        <f t="shared" si="1"/>
        <v>Week 4</v>
      </c>
      <c r="I45" s="2" t="str">
        <f t="shared" si="2"/>
        <v>Quarter 4</v>
      </c>
    </row>
    <row r="46" spans="1:9" x14ac:dyDescent="0.25">
      <c r="A46">
        <v>2800063041</v>
      </c>
      <c r="B46">
        <v>271351</v>
      </c>
      <c r="C46" t="s">
        <v>12</v>
      </c>
      <c r="D46">
        <v>128.25</v>
      </c>
      <c r="F46" s="3">
        <v>44127</v>
      </c>
      <c r="G46" s="2" t="str">
        <f t="shared" si="0"/>
        <v>October</v>
      </c>
      <c r="H46" s="2" t="str">
        <f t="shared" si="1"/>
        <v>Week 4</v>
      </c>
      <c r="I46" s="2" t="str">
        <f t="shared" si="2"/>
        <v>Quarter 4</v>
      </c>
    </row>
    <row r="47" spans="1:9" x14ac:dyDescent="0.25">
      <c r="A47">
        <v>2800063042</v>
      </c>
      <c r="B47">
        <v>271351</v>
      </c>
      <c r="C47" t="s">
        <v>12</v>
      </c>
      <c r="D47">
        <v>106</v>
      </c>
      <c r="F47" s="3">
        <v>44127</v>
      </c>
      <c r="G47" s="2" t="str">
        <f t="shared" si="0"/>
        <v>October</v>
      </c>
      <c r="H47" s="2" t="str">
        <f t="shared" si="1"/>
        <v>Week 4</v>
      </c>
      <c r="I47" s="2" t="str">
        <f t="shared" si="2"/>
        <v>Quarter 4</v>
      </c>
    </row>
    <row r="48" spans="1:9" x14ac:dyDescent="0.25">
      <c r="A48">
        <v>2800063043</v>
      </c>
      <c r="B48">
        <v>271351</v>
      </c>
      <c r="C48" t="s">
        <v>12</v>
      </c>
      <c r="D48">
        <v>102.3</v>
      </c>
      <c r="F48" s="3">
        <v>44127</v>
      </c>
      <c r="G48" s="2" t="str">
        <f t="shared" si="0"/>
        <v>October</v>
      </c>
      <c r="H48" s="2" t="str">
        <f t="shared" si="1"/>
        <v>Week 4</v>
      </c>
      <c r="I48" s="2" t="str">
        <f t="shared" si="2"/>
        <v>Quarter 4</v>
      </c>
    </row>
    <row r="49" spans="1:9" x14ac:dyDescent="0.25">
      <c r="A49">
        <v>2800063044</v>
      </c>
      <c r="B49">
        <v>271351</v>
      </c>
      <c r="C49" t="s">
        <v>10</v>
      </c>
      <c r="D49">
        <v>328.85</v>
      </c>
      <c r="F49" s="3">
        <v>44127</v>
      </c>
      <c r="G49" s="2" t="str">
        <f t="shared" si="0"/>
        <v>October</v>
      </c>
      <c r="H49" s="2" t="str">
        <f t="shared" si="1"/>
        <v>Week 4</v>
      </c>
      <c r="I49" s="2" t="str">
        <f t="shared" si="2"/>
        <v>Quarter 4</v>
      </c>
    </row>
    <row r="50" spans="1:9" x14ac:dyDescent="0.25">
      <c r="A50">
        <v>2800063045</v>
      </c>
      <c r="B50">
        <v>271351</v>
      </c>
      <c r="C50" t="s">
        <v>12</v>
      </c>
      <c r="D50">
        <v>95.1</v>
      </c>
      <c r="F50" s="3">
        <v>44127</v>
      </c>
      <c r="G50" s="2" t="str">
        <f t="shared" si="0"/>
        <v>October</v>
      </c>
      <c r="H50" s="2" t="str">
        <f t="shared" si="1"/>
        <v>Week 4</v>
      </c>
      <c r="I50" s="2" t="str">
        <f t="shared" si="2"/>
        <v>Quarter 4</v>
      </c>
    </row>
    <row r="51" spans="1:9" x14ac:dyDescent="0.25">
      <c r="A51">
        <v>2800063046</v>
      </c>
      <c r="B51">
        <v>271351</v>
      </c>
      <c r="C51" t="s">
        <v>12</v>
      </c>
      <c r="D51">
        <v>95.05</v>
      </c>
      <c r="F51" s="3">
        <v>44127</v>
      </c>
      <c r="G51" s="2" t="str">
        <f t="shared" si="0"/>
        <v>October</v>
      </c>
      <c r="H51" s="2" t="str">
        <f t="shared" si="1"/>
        <v>Week 4</v>
      </c>
      <c r="I51" s="2" t="str">
        <f t="shared" si="2"/>
        <v>Quarter 4</v>
      </c>
    </row>
    <row r="52" spans="1:9" x14ac:dyDescent="0.25">
      <c r="A52">
        <v>2800063048</v>
      </c>
      <c r="B52">
        <v>271351</v>
      </c>
      <c r="C52" t="s">
        <v>12</v>
      </c>
      <c r="D52">
        <v>85.35</v>
      </c>
      <c r="F52" s="3">
        <v>44127</v>
      </c>
      <c r="G52" s="2" t="str">
        <f t="shared" si="0"/>
        <v>October</v>
      </c>
      <c r="H52" s="2" t="str">
        <f t="shared" si="1"/>
        <v>Week 4</v>
      </c>
      <c r="I52" s="2" t="str">
        <f t="shared" si="2"/>
        <v>Quarter 4</v>
      </c>
    </row>
    <row r="53" spans="1:9" x14ac:dyDescent="0.25">
      <c r="A53">
        <v>2800063050</v>
      </c>
      <c r="B53">
        <v>271351</v>
      </c>
      <c r="C53" t="s">
        <v>12</v>
      </c>
      <c r="D53">
        <v>82.9</v>
      </c>
      <c r="F53" s="3">
        <v>44127</v>
      </c>
      <c r="G53" s="2" t="str">
        <f t="shared" si="0"/>
        <v>October</v>
      </c>
      <c r="H53" s="2" t="str">
        <f t="shared" si="1"/>
        <v>Week 4</v>
      </c>
      <c r="I53" s="2" t="str">
        <f t="shared" si="2"/>
        <v>Quarter 4</v>
      </c>
    </row>
    <row r="54" spans="1:9" x14ac:dyDescent="0.25">
      <c r="A54">
        <v>2800063051</v>
      </c>
      <c r="B54">
        <v>271351</v>
      </c>
      <c r="C54" t="s">
        <v>12</v>
      </c>
      <c r="D54">
        <v>74.45</v>
      </c>
      <c r="F54" s="3">
        <v>44127</v>
      </c>
      <c r="G54" s="2" t="str">
        <f t="shared" si="0"/>
        <v>October</v>
      </c>
      <c r="H54" s="2" t="str">
        <f t="shared" si="1"/>
        <v>Week 4</v>
      </c>
      <c r="I54" s="2" t="str">
        <f t="shared" si="2"/>
        <v>Quarter 4</v>
      </c>
    </row>
    <row r="55" spans="1:9" x14ac:dyDescent="0.25">
      <c r="A55">
        <v>2800063052</v>
      </c>
      <c r="B55">
        <v>271351</v>
      </c>
      <c r="C55" t="s">
        <v>12</v>
      </c>
      <c r="D55">
        <v>70.25</v>
      </c>
      <c r="F55" s="3">
        <v>44127</v>
      </c>
      <c r="G55" s="2" t="str">
        <f t="shared" si="0"/>
        <v>October</v>
      </c>
      <c r="H55" s="2" t="str">
        <f t="shared" si="1"/>
        <v>Week 4</v>
      </c>
      <c r="I55" s="2" t="str">
        <f t="shared" si="2"/>
        <v>Quarter 4</v>
      </c>
    </row>
    <row r="56" spans="1:9" x14ac:dyDescent="0.25">
      <c r="A56">
        <v>2800063054</v>
      </c>
      <c r="B56">
        <v>271351</v>
      </c>
      <c r="C56" t="s">
        <v>12</v>
      </c>
      <c r="D56">
        <v>65.599999999999994</v>
      </c>
      <c r="F56" s="3">
        <v>44127</v>
      </c>
      <c r="G56" s="2" t="str">
        <f t="shared" si="0"/>
        <v>October</v>
      </c>
      <c r="H56" s="2" t="str">
        <f t="shared" si="1"/>
        <v>Week 4</v>
      </c>
      <c r="I56" s="2" t="str">
        <f t="shared" si="2"/>
        <v>Quarter 4</v>
      </c>
    </row>
    <row r="57" spans="1:9" x14ac:dyDescent="0.25">
      <c r="A57">
        <v>2800063057</v>
      </c>
      <c r="B57">
        <v>271351</v>
      </c>
      <c r="C57" t="s">
        <v>12</v>
      </c>
      <c r="D57">
        <v>62.9</v>
      </c>
      <c r="F57" s="3">
        <v>44127</v>
      </c>
      <c r="G57" s="2" t="str">
        <f t="shared" si="0"/>
        <v>October</v>
      </c>
      <c r="H57" s="2" t="str">
        <f t="shared" si="1"/>
        <v>Week 4</v>
      </c>
      <c r="I57" s="2" t="str">
        <f t="shared" si="2"/>
        <v>Quarter 4</v>
      </c>
    </row>
    <row r="58" spans="1:9" x14ac:dyDescent="0.25">
      <c r="A58">
        <v>2800063058</v>
      </c>
      <c r="B58">
        <v>271351</v>
      </c>
      <c r="C58" t="s">
        <v>12</v>
      </c>
      <c r="D58">
        <v>60.2</v>
      </c>
      <c r="F58" s="3">
        <v>44127</v>
      </c>
      <c r="G58" s="2" t="str">
        <f t="shared" si="0"/>
        <v>October</v>
      </c>
      <c r="H58" s="2" t="str">
        <f t="shared" si="1"/>
        <v>Week 4</v>
      </c>
      <c r="I58" s="2" t="str">
        <f t="shared" si="2"/>
        <v>Quarter 4</v>
      </c>
    </row>
    <row r="59" spans="1:9" x14ac:dyDescent="0.25">
      <c r="A59">
        <v>2800063059</v>
      </c>
      <c r="B59">
        <v>271351</v>
      </c>
      <c r="C59" t="s">
        <v>12</v>
      </c>
      <c r="D59">
        <v>58.3</v>
      </c>
      <c r="F59" s="3">
        <v>44127</v>
      </c>
      <c r="G59" s="2" t="str">
        <f t="shared" si="0"/>
        <v>October</v>
      </c>
      <c r="H59" s="2" t="str">
        <f t="shared" si="1"/>
        <v>Week 4</v>
      </c>
      <c r="I59" s="2" t="str">
        <f t="shared" si="2"/>
        <v>Quarter 4</v>
      </c>
    </row>
    <row r="60" spans="1:9" x14ac:dyDescent="0.25">
      <c r="A60">
        <v>2800063061</v>
      </c>
      <c r="B60">
        <v>271351</v>
      </c>
      <c r="C60" t="s">
        <v>12</v>
      </c>
      <c r="D60">
        <v>56.7</v>
      </c>
      <c r="F60" s="3">
        <v>44127</v>
      </c>
      <c r="G60" s="2" t="str">
        <f t="shared" si="0"/>
        <v>October</v>
      </c>
      <c r="H60" s="2" t="str">
        <f t="shared" si="1"/>
        <v>Week 4</v>
      </c>
      <c r="I60" s="2" t="str">
        <f t="shared" si="2"/>
        <v>Quarter 4</v>
      </c>
    </row>
    <row r="61" spans="1:9" x14ac:dyDescent="0.25">
      <c r="A61">
        <v>2800063065</v>
      </c>
      <c r="B61">
        <v>271351</v>
      </c>
      <c r="C61" t="s">
        <v>12</v>
      </c>
      <c r="D61">
        <v>51.4</v>
      </c>
      <c r="F61" s="3">
        <v>44127</v>
      </c>
      <c r="G61" s="2" t="str">
        <f t="shared" si="0"/>
        <v>October</v>
      </c>
      <c r="H61" s="2" t="str">
        <f t="shared" si="1"/>
        <v>Week 4</v>
      </c>
      <c r="I61" s="2" t="str">
        <f t="shared" si="2"/>
        <v>Quarter 4</v>
      </c>
    </row>
    <row r="62" spans="1:9" x14ac:dyDescent="0.25">
      <c r="A62">
        <v>2800063066</v>
      </c>
      <c r="B62">
        <v>271351</v>
      </c>
      <c r="C62" t="s">
        <v>12</v>
      </c>
      <c r="D62">
        <v>51.2</v>
      </c>
      <c r="F62" s="3">
        <v>44127</v>
      </c>
      <c r="G62" s="2" t="str">
        <f t="shared" si="0"/>
        <v>October</v>
      </c>
      <c r="H62" s="2" t="str">
        <f t="shared" si="1"/>
        <v>Week 4</v>
      </c>
      <c r="I62" s="2" t="str">
        <f t="shared" si="2"/>
        <v>Quarter 4</v>
      </c>
    </row>
    <row r="63" spans="1:9" x14ac:dyDescent="0.25">
      <c r="A63">
        <v>2800063067</v>
      </c>
      <c r="B63">
        <v>271351</v>
      </c>
      <c r="C63" t="s">
        <v>12</v>
      </c>
      <c r="D63">
        <v>50.7</v>
      </c>
      <c r="F63" s="3">
        <v>44127</v>
      </c>
      <c r="G63" s="2" t="str">
        <f t="shared" si="0"/>
        <v>October</v>
      </c>
      <c r="H63" s="2" t="str">
        <f t="shared" si="1"/>
        <v>Week 4</v>
      </c>
      <c r="I63" s="2" t="str">
        <f t="shared" si="2"/>
        <v>Quarter 4</v>
      </c>
    </row>
    <row r="64" spans="1:9" x14ac:dyDescent="0.25">
      <c r="A64">
        <v>2800063069</v>
      </c>
      <c r="B64">
        <v>271351</v>
      </c>
      <c r="C64" t="s">
        <v>12</v>
      </c>
      <c r="D64">
        <v>48.5</v>
      </c>
      <c r="F64" s="3">
        <v>44127</v>
      </c>
      <c r="G64" s="2" t="str">
        <f t="shared" si="0"/>
        <v>October</v>
      </c>
      <c r="H64" s="2" t="str">
        <f t="shared" si="1"/>
        <v>Week 4</v>
      </c>
      <c r="I64" s="2" t="str">
        <f t="shared" si="2"/>
        <v>Quarter 4</v>
      </c>
    </row>
    <row r="65" spans="1:9" x14ac:dyDescent="0.25">
      <c r="A65">
        <v>2800063070</v>
      </c>
      <c r="B65">
        <v>271351</v>
      </c>
      <c r="C65" t="s">
        <v>12</v>
      </c>
      <c r="D65">
        <v>47.8</v>
      </c>
      <c r="F65" s="3">
        <v>44127</v>
      </c>
      <c r="G65" s="2" t="str">
        <f t="shared" si="0"/>
        <v>October</v>
      </c>
      <c r="H65" s="2" t="str">
        <f t="shared" si="1"/>
        <v>Week 4</v>
      </c>
      <c r="I65" s="2" t="str">
        <f t="shared" si="2"/>
        <v>Quarter 4</v>
      </c>
    </row>
    <row r="66" spans="1:9" x14ac:dyDescent="0.25">
      <c r="A66">
        <v>2800063071</v>
      </c>
      <c r="B66">
        <v>271351</v>
      </c>
      <c r="C66" t="s">
        <v>12</v>
      </c>
      <c r="D66">
        <v>47.05</v>
      </c>
      <c r="F66" s="3">
        <v>44127</v>
      </c>
      <c r="G66" s="2" t="str">
        <f t="shared" si="0"/>
        <v>October</v>
      </c>
      <c r="H66" s="2" t="str">
        <f t="shared" si="1"/>
        <v>Week 4</v>
      </c>
      <c r="I66" s="2" t="str">
        <f t="shared" si="2"/>
        <v>Quarter 4</v>
      </c>
    </row>
    <row r="67" spans="1:9" x14ac:dyDescent="0.25">
      <c r="A67">
        <v>2800063072</v>
      </c>
      <c r="B67">
        <v>271351</v>
      </c>
      <c r="C67" t="s">
        <v>12</v>
      </c>
      <c r="D67">
        <v>46.1</v>
      </c>
      <c r="F67" s="3">
        <v>44127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4</v>
      </c>
      <c r="I67" s="2" t="str">
        <f t="shared" ref="I67:I130" si="5">"Quarter " &amp; ROUNDUP((MONTH(F67))/3,0)</f>
        <v>Quarter 4</v>
      </c>
    </row>
    <row r="68" spans="1:9" x14ac:dyDescent="0.25">
      <c r="A68">
        <v>2800063073</v>
      </c>
      <c r="B68">
        <v>271351</v>
      </c>
      <c r="C68" t="s">
        <v>12</v>
      </c>
      <c r="D68">
        <v>44.6</v>
      </c>
      <c r="F68" s="3">
        <v>44127</v>
      </c>
      <c r="G68" s="2" t="str">
        <f t="shared" si="3"/>
        <v>October</v>
      </c>
      <c r="H68" s="2" t="str">
        <f t="shared" si="4"/>
        <v>Week 4</v>
      </c>
      <c r="I68" s="2" t="str">
        <f t="shared" si="5"/>
        <v>Quarter 4</v>
      </c>
    </row>
    <row r="69" spans="1:9" x14ac:dyDescent="0.25">
      <c r="A69">
        <v>2800063074</v>
      </c>
      <c r="B69">
        <v>271351</v>
      </c>
      <c r="C69" t="s">
        <v>12</v>
      </c>
      <c r="D69">
        <v>42.95</v>
      </c>
      <c r="F69" s="3">
        <v>44127</v>
      </c>
      <c r="G69" s="2" t="str">
        <f t="shared" si="3"/>
        <v>October</v>
      </c>
      <c r="H69" s="2" t="str">
        <f t="shared" si="4"/>
        <v>Week 4</v>
      </c>
      <c r="I69" s="2" t="str">
        <f t="shared" si="5"/>
        <v>Quarter 4</v>
      </c>
    </row>
    <row r="70" spans="1:9" x14ac:dyDescent="0.25">
      <c r="A70">
        <v>2800063075</v>
      </c>
      <c r="B70">
        <v>271351</v>
      </c>
      <c r="C70" t="s">
        <v>12</v>
      </c>
      <c r="D70">
        <v>41.95</v>
      </c>
      <c r="F70" s="3">
        <v>44127</v>
      </c>
      <c r="G70" s="2" t="str">
        <f t="shared" si="3"/>
        <v>October</v>
      </c>
      <c r="H70" s="2" t="str">
        <f t="shared" si="4"/>
        <v>Week 4</v>
      </c>
      <c r="I70" s="2" t="str">
        <f t="shared" si="5"/>
        <v>Quarter 4</v>
      </c>
    </row>
    <row r="71" spans="1:9" x14ac:dyDescent="0.25">
      <c r="A71">
        <v>2800063076</v>
      </c>
      <c r="B71">
        <v>271351</v>
      </c>
      <c r="C71" t="s">
        <v>12</v>
      </c>
      <c r="D71">
        <v>41.2</v>
      </c>
      <c r="F71" s="3">
        <v>44127</v>
      </c>
      <c r="G71" s="2" t="str">
        <f t="shared" si="3"/>
        <v>October</v>
      </c>
      <c r="H71" s="2" t="str">
        <f t="shared" si="4"/>
        <v>Week 4</v>
      </c>
      <c r="I71" s="2" t="str">
        <f t="shared" si="5"/>
        <v>Quarter 4</v>
      </c>
    </row>
    <row r="72" spans="1:9" x14ac:dyDescent="0.25">
      <c r="A72">
        <v>2800063077</v>
      </c>
      <c r="B72">
        <v>271351</v>
      </c>
      <c r="C72" t="s">
        <v>12</v>
      </c>
      <c r="D72">
        <v>34.4</v>
      </c>
      <c r="F72" s="3">
        <v>44127</v>
      </c>
      <c r="G72" s="2" t="str">
        <f t="shared" si="3"/>
        <v>October</v>
      </c>
      <c r="H72" s="2" t="str">
        <f t="shared" si="4"/>
        <v>Week 4</v>
      </c>
      <c r="I72" s="2" t="str">
        <f t="shared" si="5"/>
        <v>Quarter 4</v>
      </c>
    </row>
    <row r="73" spans="1:9" x14ac:dyDescent="0.25">
      <c r="A73">
        <v>2800063078</v>
      </c>
      <c r="B73">
        <v>271351</v>
      </c>
      <c r="C73" t="s">
        <v>12</v>
      </c>
      <c r="D73">
        <v>33.65</v>
      </c>
      <c r="F73" s="3">
        <v>44127</v>
      </c>
      <c r="G73" s="2" t="str">
        <f t="shared" si="3"/>
        <v>October</v>
      </c>
      <c r="H73" s="2" t="str">
        <f t="shared" si="4"/>
        <v>Week 4</v>
      </c>
      <c r="I73" s="2" t="str">
        <f t="shared" si="5"/>
        <v>Quarter 4</v>
      </c>
    </row>
    <row r="74" spans="1:9" x14ac:dyDescent="0.25">
      <c r="A74">
        <v>2800063079</v>
      </c>
      <c r="B74">
        <v>271351</v>
      </c>
      <c r="C74" t="s">
        <v>12</v>
      </c>
      <c r="D74">
        <v>33.15</v>
      </c>
      <c r="F74" s="3">
        <v>44127</v>
      </c>
      <c r="G74" s="2" t="str">
        <f t="shared" si="3"/>
        <v>October</v>
      </c>
      <c r="H74" s="2" t="str">
        <f t="shared" si="4"/>
        <v>Week 4</v>
      </c>
      <c r="I74" s="2" t="str">
        <f t="shared" si="5"/>
        <v>Quarter 4</v>
      </c>
    </row>
    <row r="75" spans="1:9" x14ac:dyDescent="0.25">
      <c r="A75">
        <v>2800063080</v>
      </c>
      <c r="B75">
        <v>271351</v>
      </c>
      <c r="C75" t="s">
        <v>12</v>
      </c>
      <c r="D75">
        <v>31.7</v>
      </c>
      <c r="F75" s="3">
        <v>44127</v>
      </c>
      <c r="G75" s="2" t="str">
        <f t="shared" si="3"/>
        <v>October</v>
      </c>
      <c r="H75" s="2" t="str">
        <f t="shared" si="4"/>
        <v>Week 4</v>
      </c>
      <c r="I75" s="2" t="str">
        <f t="shared" si="5"/>
        <v>Quarter 4</v>
      </c>
    </row>
    <row r="76" spans="1:9" x14ac:dyDescent="0.25">
      <c r="A76">
        <v>2800063082</v>
      </c>
      <c r="B76">
        <v>271351</v>
      </c>
      <c r="C76" t="s">
        <v>12</v>
      </c>
      <c r="D76">
        <v>27.85</v>
      </c>
      <c r="F76" s="3">
        <v>44127</v>
      </c>
      <c r="G76" s="2" t="str">
        <f t="shared" si="3"/>
        <v>October</v>
      </c>
      <c r="H76" s="2" t="str">
        <f t="shared" si="4"/>
        <v>Week 4</v>
      </c>
      <c r="I76" s="2" t="str">
        <f t="shared" si="5"/>
        <v>Quarter 4</v>
      </c>
    </row>
    <row r="77" spans="1:9" x14ac:dyDescent="0.25">
      <c r="A77">
        <v>2800063083</v>
      </c>
      <c r="B77">
        <v>271351</v>
      </c>
      <c r="C77" t="s">
        <v>12</v>
      </c>
      <c r="D77">
        <v>27.85</v>
      </c>
      <c r="F77" s="3">
        <v>44127</v>
      </c>
      <c r="G77" s="2" t="str">
        <f t="shared" si="3"/>
        <v>October</v>
      </c>
      <c r="H77" s="2" t="str">
        <f t="shared" si="4"/>
        <v>Week 4</v>
      </c>
      <c r="I77" s="2" t="str">
        <f t="shared" si="5"/>
        <v>Quarter 4</v>
      </c>
    </row>
    <row r="78" spans="1:9" x14ac:dyDescent="0.25">
      <c r="A78">
        <v>2800063084</v>
      </c>
      <c r="B78">
        <v>271351</v>
      </c>
      <c r="C78" t="s">
        <v>12</v>
      </c>
      <c r="D78">
        <v>27.85</v>
      </c>
      <c r="F78" s="3">
        <v>44127</v>
      </c>
      <c r="G78" s="2" t="str">
        <f t="shared" si="3"/>
        <v>October</v>
      </c>
      <c r="H78" s="2" t="str">
        <f t="shared" si="4"/>
        <v>Week 4</v>
      </c>
      <c r="I78" s="2" t="str">
        <f t="shared" si="5"/>
        <v>Quarter 4</v>
      </c>
    </row>
    <row r="79" spans="1:9" x14ac:dyDescent="0.25">
      <c r="A79">
        <v>2800063085</v>
      </c>
      <c r="B79">
        <v>271351</v>
      </c>
      <c r="C79" t="s">
        <v>12</v>
      </c>
      <c r="D79">
        <v>27.3</v>
      </c>
      <c r="F79" s="3">
        <v>44127</v>
      </c>
      <c r="G79" s="2" t="str">
        <f t="shared" si="3"/>
        <v>October</v>
      </c>
      <c r="H79" s="2" t="str">
        <f t="shared" si="4"/>
        <v>Week 4</v>
      </c>
      <c r="I79" s="2" t="str">
        <f t="shared" si="5"/>
        <v>Quarter 4</v>
      </c>
    </row>
    <row r="80" spans="1:9" x14ac:dyDescent="0.25">
      <c r="A80">
        <v>2800063086</v>
      </c>
      <c r="B80">
        <v>271351</v>
      </c>
      <c r="C80" t="s">
        <v>12</v>
      </c>
      <c r="D80">
        <v>25.15</v>
      </c>
      <c r="F80" s="3">
        <v>44127</v>
      </c>
      <c r="G80" s="2" t="str">
        <f t="shared" si="3"/>
        <v>October</v>
      </c>
      <c r="H80" s="2" t="str">
        <f t="shared" si="4"/>
        <v>Week 4</v>
      </c>
      <c r="I80" s="2" t="str">
        <f t="shared" si="5"/>
        <v>Quarter 4</v>
      </c>
    </row>
    <row r="81" spans="1:9" x14ac:dyDescent="0.25">
      <c r="A81">
        <v>2800063087</v>
      </c>
      <c r="B81">
        <v>271351</v>
      </c>
      <c r="C81" t="s">
        <v>12</v>
      </c>
      <c r="D81">
        <v>23.3</v>
      </c>
      <c r="F81" s="3">
        <v>44127</v>
      </c>
      <c r="G81" s="2" t="str">
        <f t="shared" si="3"/>
        <v>October</v>
      </c>
      <c r="H81" s="2" t="str">
        <f t="shared" si="4"/>
        <v>Week 4</v>
      </c>
      <c r="I81" s="2" t="str">
        <f t="shared" si="5"/>
        <v>Quarter 4</v>
      </c>
    </row>
    <row r="82" spans="1:9" x14ac:dyDescent="0.25">
      <c r="A82">
        <v>2800063088</v>
      </c>
      <c r="B82">
        <v>271351</v>
      </c>
      <c r="C82" t="s">
        <v>12</v>
      </c>
      <c r="D82">
        <v>22.45</v>
      </c>
      <c r="F82" s="3">
        <v>44127</v>
      </c>
      <c r="G82" s="2" t="str">
        <f t="shared" si="3"/>
        <v>October</v>
      </c>
      <c r="H82" s="2" t="str">
        <f t="shared" si="4"/>
        <v>Week 4</v>
      </c>
      <c r="I82" s="2" t="str">
        <f t="shared" si="5"/>
        <v>Quarter 4</v>
      </c>
    </row>
    <row r="83" spans="1:9" x14ac:dyDescent="0.25">
      <c r="A83">
        <v>2800063089</v>
      </c>
      <c r="B83">
        <v>271351</v>
      </c>
      <c r="C83" t="s">
        <v>12</v>
      </c>
      <c r="D83">
        <v>22.3</v>
      </c>
      <c r="F83" s="3">
        <v>44127</v>
      </c>
      <c r="G83" s="2" t="str">
        <f t="shared" si="3"/>
        <v>October</v>
      </c>
      <c r="H83" s="2" t="str">
        <f t="shared" si="4"/>
        <v>Week 4</v>
      </c>
      <c r="I83" s="2" t="str">
        <f t="shared" si="5"/>
        <v>Quarter 4</v>
      </c>
    </row>
    <row r="84" spans="1:9" x14ac:dyDescent="0.25">
      <c r="A84">
        <v>2800063090</v>
      </c>
      <c r="B84">
        <v>271351</v>
      </c>
      <c r="C84" t="s">
        <v>12</v>
      </c>
      <c r="D84">
        <v>22.25</v>
      </c>
      <c r="F84" s="3">
        <v>44127</v>
      </c>
      <c r="G84" s="2" t="str">
        <f t="shared" si="3"/>
        <v>October</v>
      </c>
      <c r="H84" s="2" t="str">
        <f t="shared" si="4"/>
        <v>Week 4</v>
      </c>
      <c r="I84" s="2" t="str">
        <f t="shared" si="5"/>
        <v>Quarter 4</v>
      </c>
    </row>
    <row r="85" spans="1:9" x14ac:dyDescent="0.25">
      <c r="A85">
        <v>2800063091</v>
      </c>
      <c r="B85">
        <v>271351</v>
      </c>
      <c r="C85" t="s">
        <v>12</v>
      </c>
      <c r="D85">
        <v>21.7</v>
      </c>
      <c r="F85" s="3">
        <v>44127</v>
      </c>
      <c r="G85" s="2" t="str">
        <f t="shared" si="3"/>
        <v>October</v>
      </c>
      <c r="H85" s="2" t="str">
        <f t="shared" si="4"/>
        <v>Week 4</v>
      </c>
      <c r="I85" s="2" t="str">
        <f t="shared" si="5"/>
        <v>Quarter 4</v>
      </c>
    </row>
    <row r="86" spans="1:9" x14ac:dyDescent="0.25">
      <c r="A86">
        <v>2800063093</v>
      </c>
      <c r="B86">
        <v>271351</v>
      </c>
      <c r="C86" t="s">
        <v>12</v>
      </c>
      <c r="D86">
        <v>20.5</v>
      </c>
      <c r="F86" s="3">
        <v>44127</v>
      </c>
      <c r="G86" s="2" t="str">
        <f t="shared" si="3"/>
        <v>October</v>
      </c>
      <c r="H86" s="2" t="str">
        <f t="shared" si="4"/>
        <v>Week 4</v>
      </c>
      <c r="I86" s="2" t="str">
        <f t="shared" si="5"/>
        <v>Quarter 4</v>
      </c>
    </row>
    <row r="87" spans="1:9" x14ac:dyDescent="0.25">
      <c r="A87">
        <v>2800063094</v>
      </c>
      <c r="B87">
        <v>271351</v>
      </c>
      <c r="C87" t="s">
        <v>12</v>
      </c>
      <c r="D87">
        <v>18.55</v>
      </c>
      <c r="F87" s="3">
        <v>44127</v>
      </c>
      <c r="G87" s="2" t="str">
        <f t="shared" si="3"/>
        <v>October</v>
      </c>
      <c r="H87" s="2" t="str">
        <f t="shared" si="4"/>
        <v>Week 4</v>
      </c>
      <c r="I87" s="2" t="str">
        <f t="shared" si="5"/>
        <v>Quarter 4</v>
      </c>
    </row>
    <row r="88" spans="1:9" x14ac:dyDescent="0.25">
      <c r="A88">
        <v>2800063095</v>
      </c>
      <c r="B88">
        <v>271351</v>
      </c>
      <c r="C88" t="s">
        <v>12</v>
      </c>
      <c r="D88">
        <v>13</v>
      </c>
      <c r="F88" s="3">
        <v>44127</v>
      </c>
      <c r="G88" s="2" t="str">
        <f t="shared" si="3"/>
        <v>October</v>
      </c>
      <c r="H88" s="2" t="str">
        <f t="shared" si="4"/>
        <v>Week 4</v>
      </c>
      <c r="I88" s="2" t="str">
        <f t="shared" si="5"/>
        <v>Quarter 4</v>
      </c>
    </row>
    <row r="89" spans="1:9" x14ac:dyDescent="0.25">
      <c r="A89">
        <v>2800063097</v>
      </c>
      <c r="B89">
        <v>271351</v>
      </c>
      <c r="C89" t="s">
        <v>12</v>
      </c>
      <c r="D89">
        <v>11.15</v>
      </c>
      <c r="F89" s="3">
        <v>44127</v>
      </c>
      <c r="G89" s="2" t="str">
        <f t="shared" si="3"/>
        <v>October</v>
      </c>
      <c r="H89" s="2" t="str">
        <f t="shared" si="4"/>
        <v>Week 4</v>
      </c>
      <c r="I89" s="2" t="str">
        <f t="shared" si="5"/>
        <v>Quarter 4</v>
      </c>
    </row>
    <row r="90" spans="1:9" x14ac:dyDescent="0.25">
      <c r="A90">
        <v>2800063098</v>
      </c>
      <c r="B90">
        <v>271351</v>
      </c>
      <c r="C90" t="s">
        <v>12</v>
      </c>
      <c r="D90">
        <v>11.15</v>
      </c>
      <c r="F90" s="3">
        <v>44127</v>
      </c>
      <c r="G90" s="2" t="str">
        <f t="shared" si="3"/>
        <v>October</v>
      </c>
      <c r="H90" s="2" t="str">
        <f t="shared" si="4"/>
        <v>Week 4</v>
      </c>
      <c r="I90" s="2" t="str">
        <f t="shared" si="5"/>
        <v>Quarter 4</v>
      </c>
    </row>
    <row r="91" spans="1:9" x14ac:dyDescent="0.25">
      <c r="A91">
        <v>2800063099</v>
      </c>
      <c r="B91">
        <v>271351</v>
      </c>
      <c r="C91" t="s">
        <v>12</v>
      </c>
      <c r="D91">
        <v>11.15</v>
      </c>
      <c r="F91" s="3">
        <v>44127</v>
      </c>
      <c r="G91" s="2" t="str">
        <f t="shared" si="3"/>
        <v>October</v>
      </c>
      <c r="H91" s="2" t="str">
        <f t="shared" si="4"/>
        <v>Week 4</v>
      </c>
      <c r="I91" s="2" t="str">
        <f t="shared" si="5"/>
        <v>Quarter 4</v>
      </c>
    </row>
    <row r="92" spans="1:9" x14ac:dyDescent="0.25">
      <c r="A92">
        <v>2800063100</v>
      </c>
      <c r="B92">
        <v>271351</v>
      </c>
      <c r="C92" t="s">
        <v>12</v>
      </c>
      <c r="D92">
        <v>11.15</v>
      </c>
      <c r="F92" s="3">
        <v>44127</v>
      </c>
      <c r="G92" s="2" t="str">
        <f t="shared" si="3"/>
        <v>October</v>
      </c>
      <c r="H92" s="2" t="str">
        <f t="shared" si="4"/>
        <v>Week 4</v>
      </c>
      <c r="I92" s="2" t="str">
        <f t="shared" si="5"/>
        <v>Quarter 4</v>
      </c>
    </row>
    <row r="93" spans="1:9" x14ac:dyDescent="0.25">
      <c r="A93">
        <v>2800063102</v>
      </c>
      <c r="B93">
        <v>271351</v>
      </c>
      <c r="C93" t="s">
        <v>12</v>
      </c>
      <c r="D93">
        <v>10.25</v>
      </c>
      <c r="F93" s="3">
        <v>44127</v>
      </c>
      <c r="G93" s="2" t="str">
        <f t="shared" si="3"/>
        <v>October</v>
      </c>
      <c r="H93" s="2" t="str">
        <f t="shared" si="4"/>
        <v>Week 4</v>
      </c>
      <c r="I93" s="2" t="str">
        <f t="shared" si="5"/>
        <v>Quarter 4</v>
      </c>
    </row>
    <row r="94" spans="1:9" x14ac:dyDescent="0.25">
      <c r="A94">
        <v>2800063103</v>
      </c>
      <c r="B94">
        <v>271351</v>
      </c>
      <c r="C94" t="s">
        <v>12</v>
      </c>
      <c r="D94">
        <v>10.25</v>
      </c>
      <c r="F94" s="3">
        <v>44127</v>
      </c>
      <c r="G94" s="2" t="str">
        <f t="shared" si="3"/>
        <v>October</v>
      </c>
      <c r="H94" s="2" t="str">
        <f t="shared" si="4"/>
        <v>Week 4</v>
      </c>
      <c r="I94" s="2" t="str">
        <f t="shared" si="5"/>
        <v>Quarter 4</v>
      </c>
    </row>
    <row r="95" spans="1:9" x14ac:dyDescent="0.25">
      <c r="A95">
        <v>2800063104</v>
      </c>
      <c r="B95">
        <v>271351</v>
      </c>
      <c r="C95" t="s">
        <v>12</v>
      </c>
      <c r="D95">
        <v>10.25</v>
      </c>
      <c r="F95" s="3">
        <v>44127</v>
      </c>
      <c r="G95" s="2" t="str">
        <f t="shared" si="3"/>
        <v>October</v>
      </c>
      <c r="H95" s="2" t="str">
        <f t="shared" si="4"/>
        <v>Week 4</v>
      </c>
      <c r="I95" s="2" t="str">
        <f t="shared" si="5"/>
        <v>Quarter 4</v>
      </c>
    </row>
    <row r="96" spans="1:9" x14ac:dyDescent="0.25">
      <c r="A96">
        <v>2800063105</v>
      </c>
      <c r="B96">
        <v>271351</v>
      </c>
      <c r="C96" t="s">
        <v>12</v>
      </c>
      <c r="D96">
        <v>10.25</v>
      </c>
      <c r="F96" s="3">
        <v>44127</v>
      </c>
      <c r="G96" s="2" t="str">
        <f t="shared" si="3"/>
        <v>October</v>
      </c>
      <c r="H96" s="2" t="str">
        <f t="shared" si="4"/>
        <v>Week 4</v>
      </c>
      <c r="I96" s="2" t="str">
        <f t="shared" si="5"/>
        <v>Quarter 4</v>
      </c>
    </row>
    <row r="97" spans="1:9" x14ac:dyDescent="0.25">
      <c r="A97">
        <v>2800063106</v>
      </c>
      <c r="B97">
        <v>271351</v>
      </c>
      <c r="C97" t="s">
        <v>12</v>
      </c>
      <c r="D97">
        <v>9.8000000000000007</v>
      </c>
      <c r="F97" s="3">
        <v>44127</v>
      </c>
      <c r="G97" s="2" t="str">
        <f t="shared" si="3"/>
        <v>October</v>
      </c>
      <c r="H97" s="2" t="str">
        <f t="shared" si="4"/>
        <v>Week 4</v>
      </c>
      <c r="I97" s="2" t="str">
        <f t="shared" si="5"/>
        <v>Quarter 4</v>
      </c>
    </row>
    <row r="98" spans="1:9" x14ac:dyDescent="0.25">
      <c r="A98">
        <v>2800063108</v>
      </c>
      <c r="B98">
        <v>271351</v>
      </c>
      <c r="C98" t="s">
        <v>12</v>
      </c>
      <c r="D98">
        <v>7.7</v>
      </c>
      <c r="F98" s="3">
        <v>44127</v>
      </c>
      <c r="G98" s="2" t="str">
        <f t="shared" si="3"/>
        <v>October</v>
      </c>
      <c r="H98" s="2" t="str">
        <f t="shared" si="4"/>
        <v>Week 4</v>
      </c>
      <c r="I98" s="2" t="str">
        <f t="shared" si="5"/>
        <v>Quarter 4</v>
      </c>
    </row>
    <row r="99" spans="1:9" x14ac:dyDescent="0.25">
      <c r="A99">
        <v>2800063109</v>
      </c>
      <c r="B99">
        <v>271351</v>
      </c>
      <c r="C99" t="s">
        <v>12</v>
      </c>
      <c r="D99">
        <v>6.9</v>
      </c>
      <c r="F99" s="3">
        <v>44127</v>
      </c>
      <c r="G99" s="2" t="str">
        <f t="shared" si="3"/>
        <v>October</v>
      </c>
      <c r="H99" s="2" t="str">
        <f t="shared" si="4"/>
        <v>Week 4</v>
      </c>
      <c r="I99" s="2" t="str">
        <f t="shared" si="5"/>
        <v>Quarter 4</v>
      </c>
    </row>
    <row r="100" spans="1:9" x14ac:dyDescent="0.25">
      <c r="A100">
        <v>2800063110</v>
      </c>
      <c r="B100">
        <v>271351</v>
      </c>
      <c r="C100" t="s">
        <v>12</v>
      </c>
      <c r="D100">
        <v>6.9</v>
      </c>
      <c r="F100" s="3">
        <v>44127</v>
      </c>
      <c r="G100" s="2" t="str">
        <f t="shared" si="3"/>
        <v>October</v>
      </c>
      <c r="H100" s="2" t="str">
        <f t="shared" si="4"/>
        <v>Week 4</v>
      </c>
      <c r="I100" s="2" t="str">
        <f t="shared" si="5"/>
        <v>Quarter 4</v>
      </c>
    </row>
    <row r="101" spans="1:9" x14ac:dyDescent="0.25">
      <c r="A101">
        <v>2800063111</v>
      </c>
      <c r="B101">
        <v>271351</v>
      </c>
      <c r="C101" t="s">
        <v>12</v>
      </c>
      <c r="D101">
        <v>5.55</v>
      </c>
      <c r="F101" s="3">
        <v>44127</v>
      </c>
      <c r="G101" s="2" t="str">
        <f t="shared" si="3"/>
        <v>October</v>
      </c>
      <c r="H101" s="2" t="str">
        <f t="shared" si="4"/>
        <v>Week 4</v>
      </c>
      <c r="I101" s="2" t="str">
        <f t="shared" si="5"/>
        <v>Quarter 4</v>
      </c>
    </row>
    <row r="102" spans="1:9" x14ac:dyDescent="0.25">
      <c r="A102">
        <v>2800063112</v>
      </c>
      <c r="B102">
        <v>271351</v>
      </c>
      <c r="C102" t="s">
        <v>12</v>
      </c>
      <c r="D102">
        <v>5.55</v>
      </c>
      <c r="F102" s="3">
        <v>44127</v>
      </c>
      <c r="G102" s="2" t="str">
        <f t="shared" si="3"/>
        <v>October</v>
      </c>
      <c r="H102" s="2" t="str">
        <f t="shared" si="4"/>
        <v>Week 4</v>
      </c>
      <c r="I102" s="2" t="str">
        <f t="shared" si="5"/>
        <v>Quarter 4</v>
      </c>
    </row>
    <row r="103" spans="1:9" x14ac:dyDescent="0.25">
      <c r="A103">
        <v>2800063113</v>
      </c>
      <c r="B103">
        <v>271351</v>
      </c>
      <c r="C103" t="s">
        <v>12</v>
      </c>
      <c r="D103">
        <v>5.0999999999999996</v>
      </c>
      <c r="F103" s="3">
        <v>44127</v>
      </c>
      <c r="G103" s="2" t="str">
        <f t="shared" si="3"/>
        <v>October</v>
      </c>
      <c r="H103" s="2" t="str">
        <f t="shared" si="4"/>
        <v>Week 4</v>
      </c>
      <c r="I103" s="2" t="str">
        <f t="shared" si="5"/>
        <v>Quarter 4</v>
      </c>
    </row>
    <row r="104" spans="1:9" x14ac:dyDescent="0.25">
      <c r="A104">
        <v>2800063114</v>
      </c>
      <c r="B104">
        <v>271351</v>
      </c>
      <c r="C104" t="s">
        <v>12</v>
      </c>
      <c r="D104">
        <v>5.0999999999999996</v>
      </c>
      <c r="F104" s="3">
        <v>44127</v>
      </c>
      <c r="G104" s="2" t="str">
        <f t="shared" si="3"/>
        <v>October</v>
      </c>
      <c r="H104" s="2" t="str">
        <f t="shared" si="4"/>
        <v>Week 4</v>
      </c>
      <c r="I104" s="2" t="str">
        <f t="shared" si="5"/>
        <v>Quarter 4</v>
      </c>
    </row>
    <row r="105" spans="1:9" x14ac:dyDescent="0.25">
      <c r="A105">
        <v>2800063158</v>
      </c>
      <c r="B105">
        <v>271351</v>
      </c>
      <c r="C105" t="s">
        <v>10</v>
      </c>
      <c r="D105">
        <v>206.95</v>
      </c>
      <c r="F105" s="3">
        <v>44127</v>
      </c>
      <c r="G105" s="2" t="str">
        <f t="shared" si="3"/>
        <v>October</v>
      </c>
      <c r="H105" s="2" t="str">
        <f t="shared" si="4"/>
        <v>Week 4</v>
      </c>
      <c r="I105" s="2" t="str">
        <f t="shared" si="5"/>
        <v>Quarter 4</v>
      </c>
    </row>
    <row r="106" spans="1:9" x14ac:dyDescent="0.25">
      <c r="A106">
        <v>2800063166</v>
      </c>
      <c r="B106">
        <v>271351</v>
      </c>
      <c r="C106" t="s">
        <v>10</v>
      </c>
      <c r="D106">
        <v>919.15</v>
      </c>
      <c r="F106" s="3">
        <v>44127</v>
      </c>
      <c r="G106" s="2" t="str">
        <f t="shared" si="3"/>
        <v>October</v>
      </c>
      <c r="H106" s="2" t="str">
        <f t="shared" si="4"/>
        <v>Week 4</v>
      </c>
      <c r="I106" s="2" t="str">
        <f t="shared" si="5"/>
        <v>Quarter 4</v>
      </c>
    </row>
    <row r="107" spans="1:9" x14ac:dyDescent="0.25">
      <c r="A107">
        <v>2800062994</v>
      </c>
      <c r="B107">
        <v>273114</v>
      </c>
      <c r="C107" t="s">
        <v>13</v>
      </c>
      <c r="D107">
        <v>6663.25</v>
      </c>
      <c r="F107" s="3">
        <v>44127</v>
      </c>
      <c r="G107" s="2" t="str">
        <f t="shared" si="3"/>
        <v>October</v>
      </c>
      <c r="H107" s="2" t="str">
        <f t="shared" si="4"/>
        <v>Week 4</v>
      </c>
      <c r="I107" s="2" t="str">
        <f t="shared" si="5"/>
        <v>Quarter 4</v>
      </c>
    </row>
    <row r="108" spans="1:9" x14ac:dyDescent="0.25">
      <c r="A108">
        <v>2800062995</v>
      </c>
      <c r="B108">
        <v>273114</v>
      </c>
      <c r="C108" t="s">
        <v>13</v>
      </c>
      <c r="D108">
        <v>106.25</v>
      </c>
      <c r="F108" s="3">
        <v>44127</v>
      </c>
      <c r="G108" s="2" t="str">
        <f t="shared" si="3"/>
        <v>October</v>
      </c>
      <c r="H108" s="2" t="str">
        <f t="shared" si="4"/>
        <v>Week 4</v>
      </c>
      <c r="I108" s="2" t="str">
        <f t="shared" si="5"/>
        <v>Quarter 4</v>
      </c>
    </row>
    <row r="109" spans="1:9" x14ac:dyDescent="0.25">
      <c r="A109">
        <v>2800062996</v>
      </c>
      <c r="B109">
        <v>273114</v>
      </c>
      <c r="C109" t="s">
        <v>13</v>
      </c>
      <c r="D109">
        <v>220.8</v>
      </c>
      <c r="F109" s="3">
        <v>44127</v>
      </c>
      <c r="G109" s="2" t="str">
        <f t="shared" si="3"/>
        <v>October</v>
      </c>
      <c r="H109" s="2" t="str">
        <f t="shared" si="4"/>
        <v>Week 4</v>
      </c>
      <c r="I109" s="2" t="str">
        <f t="shared" si="5"/>
        <v>Quarter 4</v>
      </c>
    </row>
    <row r="110" spans="1:9" x14ac:dyDescent="0.25">
      <c r="A110">
        <v>2800062997</v>
      </c>
      <c r="B110">
        <v>273114</v>
      </c>
      <c r="C110" t="s">
        <v>13</v>
      </c>
      <c r="D110">
        <v>1472.1</v>
      </c>
      <c r="F110" s="3">
        <v>44127</v>
      </c>
      <c r="G110" s="2" t="str">
        <f t="shared" si="3"/>
        <v>October</v>
      </c>
      <c r="H110" s="2" t="str">
        <f t="shared" si="4"/>
        <v>Week 4</v>
      </c>
      <c r="I110" s="2" t="str">
        <f t="shared" si="5"/>
        <v>Quarter 4</v>
      </c>
    </row>
    <row r="111" spans="1:9" x14ac:dyDescent="0.25">
      <c r="A111">
        <v>2800062999</v>
      </c>
      <c r="B111">
        <v>273114</v>
      </c>
      <c r="C111" t="s">
        <v>13</v>
      </c>
      <c r="D111">
        <v>446.3</v>
      </c>
      <c r="F111" s="3">
        <v>44127</v>
      </c>
      <c r="G111" s="2" t="str">
        <f t="shared" si="3"/>
        <v>October</v>
      </c>
      <c r="H111" s="2" t="str">
        <f t="shared" si="4"/>
        <v>Week 4</v>
      </c>
      <c r="I111" s="2" t="str">
        <f t="shared" si="5"/>
        <v>Quarter 4</v>
      </c>
    </row>
    <row r="112" spans="1:9" x14ac:dyDescent="0.25">
      <c r="A112">
        <v>2800063000</v>
      </c>
      <c r="B112">
        <v>273114</v>
      </c>
      <c r="C112" t="s">
        <v>13</v>
      </c>
      <c r="D112">
        <v>248.1</v>
      </c>
      <c r="F112" s="3">
        <v>44127</v>
      </c>
      <c r="G112" s="2" t="str">
        <f t="shared" si="3"/>
        <v>October</v>
      </c>
      <c r="H112" s="2" t="str">
        <f t="shared" si="4"/>
        <v>Week 4</v>
      </c>
      <c r="I112" s="2" t="str">
        <f t="shared" si="5"/>
        <v>Quarter 4</v>
      </c>
    </row>
    <row r="113" spans="1:9" x14ac:dyDescent="0.25">
      <c r="A113">
        <v>2800063001</v>
      </c>
      <c r="B113">
        <v>273114</v>
      </c>
      <c r="C113" t="s">
        <v>13</v>
      </c>
      <c r="D113">
        <v>1141.1500000000001</v>
      </c>
      <c r="F113" s="3">
        <v>44127</v>
      </c>
      <c r="G113" s="2" t="str">
        <f t="shared" si="3"/>
        <v>October</v>
      </c>
      <c r="H113" s="2" t="str">
        <f t="shared" si="4"/>
        <v>Week 4</v>
      </c>
      <c r="I113" s="2" t="str">
        <f t="shared" si="5"/>
        <v>Quarter 4</v>
      </c>
    </row>
    <row r="114" spans="1:9" x14ac:dyDescent="0.25">
      <c r="A114">
        <v>2800063018</v>
      </c>
      <c r="B114">
        <v>273114</v>
      </c>
      <c r="C114" t="s">
        <v>13</v>
      </c>
      <c r="D114">
        <v>49.15</v>
      </c>
      <c r="F114" s="3">
        <v>44127</v>
      </c>
      <c r="G114" s="2" t="str">
        <f t="shared" si="3"/>
        <v>October</v>
      </c>
      <c r="H114" s="2" t="str">
        <f t="shared" si="4"/>
        <v>Week 4</v>
      </c>
      <c r="I114" s="2" t="str">
        <f t="shared" si="5"/>
        <v>Quarter 4</v>
      </c>
    </row>
    <row r="115" spans="1:9" x14ac:dyDescent="0.25">
      <c r="A115">
        <v>2800063019</v>
      </c>
      <c r="B115">
        <v>273114</v>
      </c>
      <c r="C115" t="s">
        <v>13</v>
      </c>
      <c r="D115">
        <v>23.55</v>
      </c>
      <c r="F115" s="3">
        <v>44127</v>
      </c>
      <c r="G115" s="2" t="str">
        <f t="shared" si="3"/>
        <v>October</v>
      </c>
      <c r="H115" s="2" t="str">
        <f t="shared" si="4"/>
        <v>Week 4</v>
      </c>
      <c r="I115" s="2" t="str">
        <f t="shared" si="5"/>
        <v>Quarter 4</v>
      </c>
    </row>
    <row r="116" spans="1:9" x14ac:dyDescent="0.25">
      <c r="A116">
        <v>2800063020</v>
      </c>
      <c r="B116">
        <v>273114</v>
      </c>
      <c r="C116" t="s">
        <v>13</v>
      </c>
      <c r="D116">
        <v>263.95</v>
      </c>
      <c r="F116" s="3">
        <v>44127</v>
      </c>
      <c r="G116" s="2" t="str">
        <f t="shared" si="3"/>
        <v>October</v>
      </c>
      <c r="H116" s="2" t="str">
        <f t="shared" si="4"/>
        <v>Week 4</v>
      </c>
      <c r="I116" s="2" t="str">
        <f t="shared" si="5"/>
        <v>Quarter 4</v>
      </c>
    </row>
    <row r="117" spans="1:9" x14ac:dyDescent="0.25">
      <c r="A117">
        <v>2800063022</v>
      </c>
      <c r="B117">
        <v>273114</v>
      </c>
      <c r="C117" t="s">
        <v>13</v>
      </c>
      <c r="D117">
        <v>44</v>
      </c>
      <c r="F117" s="3">
        <v>44127</v>
      </c>
      <c r="G117" s="2" t="str">
        <f t="shared" si="3"/>
        <v>October</v>
      </c>
      <c r="H117" s="2" t="str">
        <f t="shared" si="4"/>
        <v>Week 4</v>
      </c>
      <c r="I117" s="2" t="str">
        <f t="shared" si="5"/>
        <v>Quarter 4</v>
      </c>
    </row>
    <row r="118" spans="1:9" x14ac:dyDescent="0.25">
      <c r="A118">
        <v>2800063025</v>
      </c>
      <c r="B118">
        <v>273114</v>
      </c>
      <c r="C118" t="s">
        <v>14</v>
      </c>
      <c r="D118">
        <v>21.05</v>
      </c>
      <c r="F118" s="3">
        <v>44127</v>
      </c>
      <c r="G118" s="2" t="str">
        <f t="shared" si="3"/>
        <v>October</v>
      </c>
      <c r="H118" s="2" t="str">
        <f t="shared" si="4"/>
        <v>Week 4</v>
      </c>
      <c r="I118" s="2" t="str">
        <f t="shared" si="5"/>
        <v>Quarter 4</v>
      </c>
    </row>
    <row r="119" spans="1:9" x14ac:dyDescent="0.25">
      <c r="A119">
        <v>2800063047</v>
      </c>
      <c r="B119">
        <v>273114</v>
      </c>
      <c r="C119" t="s">
        <v>14</v>
      </c>
      <c r="D119">
        <v>46.9</v>
      </c>
      <c r="F119" s="3">
        <v>44127</v>
      </c>
      <c r="G119" s="2" t="str">
        <f t="shared" si="3"/>
        <v>October</v>
      </c>
      <c r="H119" s="2" t="str">
        <f t="shared" si="4"/>
        <v>Week 4</v>
      </c>
      <c r="I119" s="2" t="str">
        <f t="shared" si="5"/>
        <v>Quarter 4</v>
      </c>
    </row>
    <row r="120" spans="1:9" x14ac:dyDescent="0.25">
      <c r="A120">
        <v>2800063049</v>
      </c>
      <c r="B120">
        <v>273114</v>
      </c>
      <c r="C120" t="s">
        <v>10</v>
      </c>
      <c r="D120">
        <v>1134.0999999999999</v>
      </c>
      <c r="F120" s="3">
        <v>44127</v>
      </c>
      <c r="G120" s="2" t="str">
        <f t="shared" si="3"/>
        <v>October</v>
      </c>
      <c r="H120" s="2" t="str">
        <f t="shared" si="4"/>
        <v>Week 4</v>
      </c>
      <c r="I120" s="2" t="str">
        <f t="shared" si="5"/>
        <v>Quarter 4</v>
      </c>
    </row>
    <row r="121" spans="1:9" x14ac:dyDescent="0.25">
      <c r="A121">
        <v>2800063053</v>
      </c>
      <c r="B121">
        <v>273114</v>
      </c>
      <c r="C121" t="s">
        <v>10</v>
      </c>
      <c r="D121">
        <v>7.8</v>
      </c>
      <c r="F121" s="3">
        <v>44127</v>
      </c>
      <c r="G121" s="2" t="str">
        <f t="shared" si="3"/>
        <v>October</v>
      </c>
      <c r="H121" s="2" t="str">
        <f t="shared" si="4"/>
        <v>Week 4</v>
      </c>
      <c r="I121" s="2" t="str">
        <f t="shared" si="5"/>
        <v>Quarter 4</v>
      </c>
    </row>
    <row r="122" spans="1:9" x14ac:dyDescent="0.25">
      <c r="A122">
        <v>2800063055</v>
      </c>
      <c r="B122">
        <v>273114</v>
      </c>
      <c r="C122" t="s">
        <v>15</v>
      </c>
      <c r="D122">
        <v>54.98</v>
      </c>
      <c r="E122" t="s">
        <v>16</v>
      </c>
      <c r="F122" s="3">
        <v>44127</v>
      </c>
      <c r="G122" s="2" t="str">
        <f t="shared" si="3"/>
        <v>October</v>
      </c>
      <c r="H122" s="2" t="str">
        <f t="shared" si="4"/>
        <v>Week 4</v>
      </c>
      <c r="I122" s="2" t="str">
        <f t="shared" si="5"/>
        <v>Quarter 4</v>
      </c>
    </row>
    <row r="123" spans="1:9" x14ac:dyDescent="0.25">
      <c r="A123">
        <v>2800063056</v>
      </c>
      <c r="B123">
        <v>273114</v>
      </c>
      <c r="C123" t="s">
        <v>14</v>
      </c>
      <c r="D123">
        <v>5.6</v>
      </c>
      <c r="F123" s="3">
        <v>44127</v>
      </c>
      <c r="G123" s="2" t="str">
        <f t="shared" si="3"/>
        <v>October</v>
      </c>
      <c r="H123" s="2" t="str">
        <f t="shared" si="4"/>
        <v>Week 4</v>
      </c>
      <c r="I123" s="2" t="str">
        <f t="shared" si="5"/>
        <v>Quarter 4</v>
      </c>
    </row>
    <row r="124" spans="1:9" x14ac:dyDescent="0.25">
      <c r="A124">
        <v>2800063081</v>
      </c>
      <c r="B124">
        <v>273114</v>
      </c>
      <c r="C124" t="s">
        <v>14</v>
      </c>
      <c r="D124">
        <v>195.95</v>
      </c>
      <c r="F124" s="3">
        <v>44127</v>
      </c>
      <c r="G124" s="2" t="str">
        <f t="shared" si="3"/>
        <v>October</v>
      </c>
      <c r="H124" s="2" t="str">
        <f t="shared" si="4"/>
        <v>Week 4</v>
      </c>
      <c r="I124" s="2" t="str">
        <f t="shared" si="5"/>
        <v>Quarter 4</v>
      </c>
    </row>
    <row r="125" spans="1:9" x14ac:dyDescent="0.25">
      <c r="A125">
        <v>2800063092</v>
      </c>
      <c r="B125">
        <v>273114</v>
      </c>
      <c r="C125" t="s">
        <v>14</v>
      </c>
      <c r="D125">
        <v>444.91</v>
      </c>
      <c r="F125" s="3">
        <v>44127</v>
      </c>
      <c r="G125" s="2" t="str">
        <f t="shared" si="3"/>
        <v>October</v>
      </c>
      <c r="H125" s="2" t="str">
        <f t="shared" si="4"/>
        <v>Week 4</v>
      </c>
      <c r="I125" s="2" t="str">
        <f t="shared" si="5"/>
        <v>Quarter 4</v>
      </c>
    </row>
    <row r="126" spans="1:9" x14ac:dyDescent="0.25">
      <c r="A126">
        <v>2800063096</v>
      </c>
      <c r="B126">
        <v>273114</v>
      </c>
      <c r="C126" t="s">
        <v>14</v>
      </c>
      <c r="D126">
        <v>176.95</v>
      </c>
      <c r="F126" s="3">
        <v>44127</v>
      </c>
      <c r="G126" s="2" t="str">
        <f t="shared" si="3"/>
        <v>October</v>
      </c>
      <c r="H126" s="2" t="str">
        <f t="shared" si="4"/>
        <v>Week 4</v>
      </c>
      <c r="I126" s="2" t="str">
        <f t="shared" si="5"/>
        <v>Quarter 4</v>
      </c>
    </row>
    <row r="127" spans="1:9" x14ac:dyDescent="0.25">
      <c r="A127">
        <v>2800063101</v>
      </c>
      <c r="B127">
        <v>273114</v>
      </c>
      <c r="C127" t="s">
        <v>14</v>
      </c>
      <c r="D127">
        <v>466</v>
      </c>
      <c r="F127" s="3">
        <v>44127</v>
      </c>
      <c r="G127" s="2" t="str">
        <f t="shared" si="3"/>
        <v>October</v>
      </c>
      <c r="H127" s="2" t="str">
        <f t="shared" si="4"/>
        <v>Week 4</v>
      </c>
      <c r="I127" s="2" t="str">
        <f t="shared" si="5"/>
        <v>Quarter 4</v>
      </c>
    </row>
    <row r="128" spans="1:9" x14ac:dyDescent="0.25">
      <c r="A128">
        <v>2800063107</v>
      </c>
      <c r="B128">
        <v>273114</v>
      </c>
      <c r="C128" t="s">
        <v>14</v>
      </c>
      <c r="D128">
        <v>84.95</v>
      </c>
      <c r="F128" s="3">
        <v>44127</v>
      </c>
      <c r="G128" s="2" t="str">
        <f t="shared" si="3"/>
        <v>October</v>
      </c>
      <c r="H128" s="2" t="str">
        <f t="shared" si="4"/>
        <v>Week 4</v>
      </c>
      <c r="I128" s="2" t="str">
        <f t="shared" si="5"/>
        <v>Quarter 4</v>
      </c>
    </row>
    <row r="129" spans="1:9" x14ac:dyDescent="0.25">
      <c r="A129">
        <v>2800063115</v>
      </c>
      <c r="B129">
        <v>273114</v>
      </c>
      <c r="C129" t="s">
        <v>15</v>
      </c>
      <c r="D129">
        <v>5.5</v>
      </c>
      <c r="E129" t="s">
        <v>16</v>
      </c>
      <c r="F129" s="3">
        <v>44127</v>
      </c>
      <c r="G129" s="2" t="str">
        <f t="shared" si="3"/>
        <v>October</v>
      </c>
      <c r="H129" s="2" t="str">
        <f t="shared" si="4"/>
        <v>Week 4</v>
      </c>
      <c r="I129" s="2" t="str">
        <f t="shared" si="5"/>
        <v>Quarter 4</v>
      </c>
    </row>
    <row r="130" spans="1:9" x14ac:dyDescent="0.25">
      <c r="A130">
        <v>2800063116</v>
      </c>
      <c r="B130">
        <v>273114</v>
      </c>
      <c r="C130" t="s">
        <v>15</v>
      </c>
      <c r="D130">
        <v>50.4</v>
      </c>
      <c r="E130" t="s">
        <v>16</v>
      </c>
      <c r="F130" s="3">
        <v>44127</v>
      </c>
      <c r="G130" s="2" t="str">
        <f t="shared" si="3"/>
        <v>October</v>
      </c>
      <c r="H130" s="2" t="str">
        <f t="shared" si="4"/>
        <v>Week 4</v>
      </c>
      <c r="I130" s="2" t="str">
        <f t="shared" si="5"/>
        <v>Quarter 4</v>
      </c>
    </row>
    <row r="131" spans="1:9" x14ac:dyDescent="0.25">
      <c r="A131">
        <v>2800063117</v>
      </c>
      <c r="B131">
        <v>273114</v>
      </c>
      <c r="C131" t="s">
        <v>15</v>
      </c>
      <c r="D131">
        <v>233.65</v>
      </c>
      <c r="E131" t="s">
        <v>16</v>
      </c>
      <c r="F131" s="3">
        <v>44127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4</v>
      </c>
      <c r="I131" s="2" t="str">
        <f t="shared" ref="I131:I194" si="8">"Quarter " &amp; ROUNDUP((MONTH(F131))/3,0)</f>
        <v>Quarter 4</v>
      </c>
    </row>
    <row r="132" spans="1:9" x14ac:dyDescent="0.25">
      <c r="A132">
        <v>2800063118</v>
      </c>
      <c r="B132">
        <v>273114</v>
      </c>
      <c r="C132" t="s">
        <v>15</v>
      </c>
      <c r="D132">
        <v>6684.6</v>
      </c>
      <c r="E132" t="s">
        <v>16</v>
      </c>
      <c r="F132" s="3">
        <v>44127</v>
      </c>
      <c r="G132" s="2" t="str">
        <f t="shared" si="6"/>
        <v>October</v>
      </c>
      <c r="H132" s="2" t="str">
        <f t="shared" si="7"/>
        <v>Week 4</v>
      </c>
      <c r="I132" s="2" t="str">
        <f t="shared" si="8"/>
        <v>Quarter 4</v>
      </c>
    </row>
    <row r="133" spans="1:9" x14ac:dyDescent="0.25">
      <c r="A133">
        <v>2800063119</v>
      </c>
      <c r="B133">
        <v>273114</v>
      </c>
      <c r="C133" t="s">
        <v>15</v>
      </c>
      <c r="D133">
        <v>5.05</v>
      </c>
      <c r="E133" t="s">
        <v>16</v>
      </c>
      <c r="F133" s="3">
        <v>44127</v>
      </c>
      <c r="G133" s="2" t="str">
        <f t="shared" si="6"/>
        <v>October</v>
      </c>
      <c r="H133" s="2" t="str">
        <f t="shared" si="7"/>
        <v>Week 4</v>
      </c>
      <c r="I133" s="2" t="str">
        <f t="shared" si="8"/>
        <v>Quarter 4</v>
      </c>
    </row>
    <row r="134" spans="1:9" x14ac:dyDescent="0.25">
      <c r="A134">
        <v>2800063120</v>
      </c>
      <c r="B134">
        <v>273114</v>
      </c>
      <c r="C134" t="s">
        <v>15</v>
      </c>
      <c r="D134">
        <v>79.849999999999994</v>
      </c>
      <c r="E134" t="s">
        <v>16</v>
      </c>
      <c r="F134" s="3">
        <v>44127</v>
      </c>
      <c r="G134" s="2" t="str">
        <f t="shared" si="6"/>
        <v>October</v>
      </c>
      <c r="H134" s="2" t="str">
        <f t="shared" si="7"/>
        <v>Week 4</v>
      </c>
      <c r="I134" s="2" t="str">
        <f t="shared" si="8"/>
        <v>Quarter 4</v>
      </c>
    </row>
    <row r="135" spans="1:9" x14ac:dyDescent="0.25">
      <c r="A135">
        <v>2800063121</v>
      </c>
      <c r="B135">
        <v>273114</v>
      </c>
      <c r="C135" t="s">
        <v>15</v>
      </c>
      <c r="D135">
        <v>101.1</v>
      </c>
      <c r="E135" t="s">
        <v>16</v>
      </c>
      <c r="F135" s="3">
        <v>44127</v>
      </c>
      <c r="G135" s="2" t="str">
        <f t="shared" si="6"/>
        <v>October</v>
      </c>
      <c r="H135" s="2" t="str">
        <f t="shared" si="7"/>
        <v>Week 4</v>
      </c>
      <c r="I135" s="2" t="str">
        <f t="shared" si="8"/>
        <v>Quarter 4</v>
      </c>
    </row>
    <row r="136" spans="1:9" x14ac:dyDescent="0.25">
      <c r="A136">
        <v>2800063122</v>
      </c>
      <c r="B136">
        <v>273114</v>
      </c>
      <c r="C136" t="s">
        <v>15</v>
      </c>
      <c r="D136">
        <v>4572.95</v>
      </c>
      <c r="E136" t="s">
        <v>16</v>
      </c>
      <c r="F136" s="3">
        <v>44127</v>
      </c>
      <c r="G136" s="2" t="str">
        <f t="shared" si="6"/>
        <v>October</v>
      </c>
      <c r="H136" s="2" t="str">
        <f t="shared" si="7"/>
        <v>Week 4</v>
      </c>
      <c r="I136" s="2" t="str">
        <f t="shared" si="8"/>
        <v>Quarter 4</v>
      </c>
    </row>
    <row r="137" spans="1:9" x14ac:dyDescent="0.25">
      <c r="A137">
        <v>2800063123</v>
      </c>
      <c r="B137">
        <v>273114</v>
      </c>
      <c r="C137" t="s">
        <v>15</v>
      </c>
      <c r="D137">
        <v>37.74</v>
      </c>
      <c r="E137" t="s">
        <v>16</v>
      </c>
      <c r="F137" s="3">
        <v>44127</v>
      </c>
      <c r="G137" s="2" t="str">
        <f t="shared" si="6"/>
        <v>October</v>
      </c>
      <c r="H137" s="2" t="str">
        <f t="shared" si="7"/>
        <v>Week 4</v>
      </c>
      <c r="I137" s="2" t="str">
        <f t="shared" si="8"/>
        <v>Quarter 4</v>
      </c>
    </row>
    <row r="138" spans="1:9" x14ac:dyDescent="0.25">
      <c r="A138">
        <v>2800063124</v>
      </c>
      <c r="B138">
        <v>273114</v>
      </c>
      <c r="C138" t="s">
        <v>15</v>
      </c>
      <c r="D138">
        <v>123.15</v>
      </c>
      <c r="E138" t="s">
        <v>16</v>
      </c>
      <c r="F138" s="3">
        <v>44127</v>
      </c>
      <c r="G138" s="2" t="str">
        <f t="shared" si="6"/>
        <v>October</v>
      </c>
      <c r="H138" s="2" t="str">
        <f t="shared" si="7"/>
        <v>Week 4</v>
      </c>
      <c r="I138" s="2" t="str">
        <f t="shared" si="8"/>
        <v>Quarter 4</v>
      </c>
    </row>
    <row r="139" spans="1:9" x14ac:dyDescent="0.25">
      <c r="A139">
        <v>2800063125</v>
      </c>
      <c r="B139">
        <v>273114</v>
      </c>
      <c r="C139" t="s">
        <v>15</v>
      </c>
      <c r="D139">
        <v>908.05</v>
      </c>
      <c r="E139" t="s">
        <v>16</v>
      </c>
      <c r="F139" s="3">
        <v>44127</v>
      </c>
      <c r="G139" s="2" t="str">
        <f t="shared" si="6"/>
        <v>October</v>
      </c>
      <c r="H139" s="2" t="str">
        <f t="shared" si="7"/>
        <v>Week 4</v>
      </c>
      <c r="I139" s="2" t="str">
        <f t="shared" si="8"/>
        <v>Quarter 4</v>
      </c>
    </row>
    <row r="140" spans="1:9" x14ac:dyDescent="0.25">
      <c r="A140">
        <v>2800063126</v>
      </c>
      <c r="B140">
        <v>273114</v>
      </c>
      <c r="C140" t="s">
        <v>15</v>
      </c>
      <c r="D140">
        <v>394</v>
      </c>
      <c r="E140" t="s">
        <v>16</v>
      </c>
      <c r="F140" s="3">
        <v>44127</v>
      </c>
      <c r="G140" s="2" t="str">
        <f t="shared" si="6"/>
        <v>October</v>
      </c>
      <c r="H140" s="2" t="str">
        <f t="shared" si="7"/>
        <v>Week 4</v>
      </c>
      <c r="I140" s="2" t="str">
        <f t="shared" si="8"/>
        <v>Quarter 4</v>
      </c>
    </row>
    <row r="141" spans="1:9" x14ac:dyDescent="0.25">
      <c r="A141">
        <v>2800063127</v>
      </c>
      <c r="B141">
        <v>273114</v>
      </c>
      <c r="C141" t="s">
        <v>15</v>
      </c>
      <c r="D141">
        <v>259.10000000000002</v>
      </c>
      <c r="E141" t="s">
        <v>16</v>
      </c>
      <c r="F141" s="3">
        <v>44127</v>
      </c>
      <c r="G141" s="2" t="str">
        <f t="shared" si="6"/>
        <v>October</v>
      </c>
      <c r="H141" s="2" t="str">
        <f t="shared" si="7"/>
        <v>Week 4</v>
      </c>
      <c r="I141" s="2" t="str">
        <f t="shared" si="8"/>
        <v>Quarter 4</v>
      </c>
    </row>
    <row r="142" spans="1:9" x14ac:dyDescent="0.25">
      <c r="A142">
        <v>2800063128</v>
      </c>
      <c r="B142">
        <v>273114</v>
      </c>
      <c r="C142" t="s">
        <v>15</v>
      </c>
      <c r="D142">
        <v>313.39999999999998</v>
      </c>
      <c r="E142" t="s">
        <v>16</v>
      </c>
      <c r="F142" s="3">
        <v>44127</v>
      </c>
      <c r="G142" s="2" t="str">
        <f t="shared" si="6"/>
        <v>October</v>
      </c>
      <c r="H142" s="2" t="str">
        <f t="shared" si="7"/>
        <v>Week 4</v>
      </c>
      <c r="I142" s="2" t="str">
        <f t="shared" si="8"/>
        <v>Quarter 4</v>
      </c>
    </row>
    <row r="143" spans="1:9" x14ac:dyDescent="0.25">
      <c r="A143">
        <v>2800063129</v>
      </c>
      <c r="B143">
        <v>273114</v>
      </c>
      <c r="C143" t="s">
        <v>15</v>
      </c>
      <c r="D143">
        <v>6488.85</v>
      </c>
      <c r="E143" t="s">
        <v>16</v>
      </c>
      <c r="F143" s="3">
        <v>44127</v>
      </c>
      <c r="G143" s="2" t="str">
        <f t="shared" si="6"/>
        <v>October</v>
      </c>
      <c r="H143" s="2" t="str">
        <f t="shared" si="7"/>
        <v>Week 4</v>
      </c>
      <c r="I143" s="2" t="str">
        <f t="shared" si="8"/>
        <v>Quarter 4</v>
      </c>
    </row>
    <row r="144" spans="1:9" x14ac:dyDescent="0.25">
      <c r="A144">
        <v>2800063144</v>
      </c>
      <c r="B144">
        <v>273114</v>
      </c>
      <c r="C144" t="s">
        <v>10</v>
      </c>
      <c r="D144">
        <v>36.729999999999997</v>
      </c>
      <c r="F144" s="3">
        <v>44127</v>
      </c>
      <c r="G144" s="2" t="str">
        <f t="shared" si="6"/>
        <v>October</v>
      </c>
      <c r="H144" s="2" t="str">
        <f t="shared" si="7"/>
        <v>Week 4</v>
      </c>
      <c r="I144" s="2" t="str">
        <f t="shared" si="8"/>
        <v>Quarter 4</v>
      </c>
    </row>
    <row r="145" spans="1:9" x14ac:dyDescent="0.25">
      <c r="A145">
        <v>2800063146</v>
      </c>
      <c r="B145">
        <v>273114</v>
      </c>
      <c r="C145" t="s">
        <v>10</v>
      </c>
      <c r="D145">
        <v>4065.37</v>
      </c>
      <c r="F145" s="3">
        <v>44127</v>
      </c>
      <c r="G145" s="2" t="str">
        <f t="shared" si="6"/>
        <v>October</v>
      </c>
      <c r="H145" s="2" t="str">
        <f t="shared" si="7"/>
        <v>Week 4</v>
      </c>
      <c r="I145" s="2" t="str">
        <f t="shared" si="8"/>
        <v>Quarter 4</v>
      </c>
    </row>
    <row r="146" spans="1:9" x14ac:dyDescent="0.25">
      <c r="A146">
        <v>2800063157</v>
      </c>
      <c r="B146">
        <v>273114</v>
      </c>
      <c r="C146" t="s">
        <v>10</v>
      </c>
      <c r="D146">
        <v>1000</v>
      </c>
      <c r="F146" s="3">
        <v>44127</v>
      </c>
      <c r="G146" s="2" t="str">
        <f t="shared" si="6"/>
        <v>October</v>
      </c>
      <c r="H146" s="2" t="str">
        <f t="shared" si="7"/>
        <v>Week 4</v>
      </c>
      <c r="I146" s="2" t="str">
        <f t="shared" si="8"/>
        <v>Quarter 4</v>
      </c>
    </row>
    <row r="147" spans="1:9" x14ac:dyDescent="0.25">
      <c r="A147">
        <v>2800063160</v>
      </c>
      <c r="B147">
        <v>273114</v>
      </c>
      <c r="C147" t="s">
        <v>10</v>
      </c>
      <c r="D147">
        <v>1699</v>
      </c>
      <c r="F147" s="3">
        <v>44127</v>
      </c>
      <c r="G147" s="2" t="str">
        <f t="shared" si="6"/>
        <v>October</v>
      </c>
      <c r="H147" s="2" t="str">
        <f t="shared" si="7"/>
        <v>Week 4</v>
      </c>
      <c r="I147" s="2" t="str">
        <f t="shared" si="8"/>
        <v>Quarter 4</v>
      </c>
    </row>
    <row r="148" spans="1:9" x14ac:dyDescent="0.25">
      <c r="A148">
        <v>2800063130</v>
      </c>
      <c r="B148">
        <v>273116</v>
      </c>
      <c r="C148" t="s">
        <v>15</v>
      </c>
      <c r="D148">
        <v>290.95</v>
      </c>
      <c r="E148" t="s">
        <v>16</v>
      </c>
      <c r="F148" s="3">
        <v>44127</v>
      </c>
      <c r="G148" s="2" t="str">
        <f t="shared" si="6"/>
        <v>October</v>
      </c>
      <c r="H148" s="2" t="str">
        <f t="shared" si="7"/>
        <v>Week 4</v>
      </c>
      <c r="I148" s="2" t="str">
        <f t="shared" si="8"/>
        <v>Quarter 4</v>
      </c>
    </row>
    <row r="149" spans="1:9" x14ac:dyDescent="0.25">
      <c r="A149">
        <v>2800062983</v>
      </c>
      <c r="B149">
        <v>273114</v>
      </c>
      <c r="C149" t="s">
        <v>15</v>
      </c>
      <c r="D149">
        <v>275.85000000000002</v>
      </c>
      <c r="E149" t="s">
        <v>16</v>
      </c>
      <c r="F149" s="3">
        <v>44127</v>
      </c>
      <c r="G149" s="2" t="str">
        <f t="shared" si="6"/>
        <v>October</v>
      </c>
      <c r="H149" s="2" t="str">
        <f t="shared" si="7"/>
        <v>Week 4</v>
      </c>
      <c r="I149" s="2" t="str">
        <f t="shared" si="8"/>
        <v>Quarter 4</v>
      </c>
    </row>
    <row r="150" spans="1:9" x14ac:dyDescent="0.25">
      <c r="A150">
        <v>2800062984</v>
      </c>
      <c r="B150">
        <v>273114</v>
      </c>
      <c r="C150" t="s">
        <v>15</v>
      </c>
      <c r="D150">
        <v>525.54999999999995</v>
      </c>
      <c r="E150" t="s">
        <v>16</v>
      </c>
      <c r="F150" s="3">
        <v>44127</v>
      </c>
      <c r="G150" s="2" t="str">
        <f t="shared" si="6"/>
        <v>October</v>
      </c>
      <c r="H150" s="2" t="str">
        <f t="shared" si="7"/>
        <v>Week 4</v>
      </c>
      <c r="I150" s="2" t="str">
        <f t="shared" si="8"/>
        <v>Quarter 4</v>
      </c>
    </row>
    <row r="151" spans="1:9" x14ac:dyDescent="0.25">
      <c r="A151">
        <v>2800062985</v>
      </c>
      <c r="B151">
        <v>273114</v>
      </c>
      <c r="C151" t="s">
        <v>15</v>
      </c>
      <c r="D151">
        <v>175.15</v>
      </c>
      <c r="E151" t="s">
        <v>16</v>
      </c>
      <c r="F151" s="3">
        <v>44127</v>
      </c>
      <c r="G151" s="2" t="str">
        <f t="shared" si="6"/>
        <v>October</v>
      </c>
      <c r="H151" s="2" t="str">
        <f t="shared" si="7"/>
        <v>Week 4</v>
      </c>
      <c r="I151" s="2" t="str">
        <f t="shared" si="8"/>
        <v>Quarter 4</v>
      </c>
    </row>
    <row r="152" spans="1:9" x14ac:dyDescent="0.25">
      <c r="A152">
        <v>2800062986</v>
      </c>
      <c r="B152">
        <v>273114</v>
      </c>
      <c r="C152" t="s">
        <v>15</v>
      </c>
      <c r="D152">
        <v>137.99</v>
      </c>
      <c r="E152" t="s">
        <v>16</v>
      </c>
      <c r="F152" s="3">
        <v>44127</v>
      </c>
      <c r="G152" s="2" t="str">
        <f t="shared" si="6"/>
        <v>October</v>
      </c>
      <c r="H152" s="2" t="str">
        <f t="shared" si="7"/>
        <v>Week 4</v>
      </c>
      <c r="I152" s="2" t="str">
        <f t="shared" si="8"/>
        <v>Quarter 4</v>
      </c>
    </row>
    <row r="153" spans="1:9" x14ac:dyDescent="0.25">
      <c r="A153">
        <v>2800062987</v>
      </c>
      <c r="B153">
        <v>273114</v>
      </c>
      <c r="C153" t="s">
        <v>15</v>
      </c>
      <c r="D153">
        <v>343.15</v>
      </c>
      <c r="E153" t="s">
        <v>16</v>
      </c>
      <c r="F153" s="3">
        <v>44127</v>
      </c>
      <c r="G153" s="2" t="str">
        <f t="shared" si="6"/>
        <v>October</v>
      </c>
      <c r="H153" s="2" t="str">
        <f t="shared" si="7"/>
        <v>Week 4</v>
      </c>
      <c r="I153" s="2" t="str">
        <f t="shared" si="8"/>
        <v>Quarter 4</v>
      </c>
    </row>
    <row r="154" spans="1:9" x14ac:dyDescent="0.25">
      <c r="A154">
        <v>2800062988</v>
      </c>
      <c r="B154">
        <v>273114</v>
      </c>
      <c r="C154" t="s">
        <v>15</v>
      </c>
      <c r="D154">
        <v>14.45</v>
      </c>
      <c r="E154" t="s">
        <v>16</v>
      </c>
      <c r="F154" s="3">
        <v>44127</v>
      </c>
      <c r="G154" s="2" t="str">
        <f t="shared" si="6"/>
        <v>October</v>
      </c>
      <c r="H154" s="2" t="str">
        <f t="shared" si="7"/>
        <v>Week 4</v>
      </c>
      <c r="I154" s="2" t="str">
        <f t="shared" si="8"/>
        <v>Quarter 4</v>
      </c>
    </row>
    <row r="155" spans="1:9" x14ac:dyDescent="0.25">
      <c r="A155">
        <v>2800062989</v>
      </c>
      <c r="B155">
        <v>273114</v>
      </c>
      <c r="C155" t="s">
        <v>15</v>
      </c>
      <c r="D155">
        <v>41.5</v>
      </c>
      <c r="E155" t="s">
        <v>16</v>
      </c>
      <c r="F155" s="3">
        <v>44127</v>
      </c>
      <c r="G155" s="2" t="str">
        <f t="shared" si="6"/>
        <v>October</v>
      </c>
      <c r="H155" s="2" t="str">
        <f t="shared" si="7"/>
        <v>Week 4</v>
      </c>
      <c r="I155" s="2" t="str">
        <f t="shared" si="8"/>
        <v>Quarter 4</v>
      </c>
    </row>
    <row r="156" spans="1:9" x14ac:dyDescent="0.25">
      <c r="A156">
        <v>2800062990</v>
      </c>
      <c r="B156">
        <v>273114</v>
      </c>
      <c r="C156" t="s">
        <v>15</v>
      </c>
      <c r="D156">
        <v>156.97999999999999</v>
      </c>
      <c r="E156" t="s">
        <v>16</v>
      </c>
      <c r="F156" s="3">
        <v>44127</v>
      </c>
      <c r="G156" s="2" t="str">
        <f t="shared" si="6"/>
        <v>October</v>
      </c>
      <c r="H156" s="2" t="str">
        <f t="shared" si="7"/>
        <v>Week 4</v>
      </c>
      <c r="I156" s="2" t="str">
        <f t="shared" si="8"/>
        <v>Quarter 4</v>
      </c>
    </row>
    <row r="157" spans="1:9" x14ac:dyDescent="0.25">
      <c r="A157">
        <v>2800062998</v>
      </c>
      <c r="B157">
        <v>273114</v>
      </c>
      <c r="C157" t="s">
        <v>10</v>
      </c>
      <c r="D157">
        <v>718.5</v>
      </c>
      <c r="F157" s="3">
        <v>44127</v>
      </c>
      <c r="G157" s="2" t="str">
        <f t="shared" si="6"/>
        <v>October</v>
      </c>
      <c r="H157" s="2" t="str">
        <f t="shared" si="7"/>
        <v>Week 4</v>
      </c>
      <c r="I157" s="2" t="str">
        <f t="shared" si="8"/>
        <v>Quarter 4</v>
      </c>
    </row>
    <row r="158" spans="1:9" x14ac:dyDescent="0.25">
      <c r="A158">
        <v>2800063060</v>
      </c>
      <c r="B158">
        <v>273114</v>
      </c>
      <c r="C158" t="s">
        <v>13</v>
      </c>
      <c r="D158">
        <v>193.6</v>
      </c>
      <c r="F158" s="3">
        <v>44127</v>
      </c>
      <c r="G158" s="2" t="str">
        <f t="shared" si="6"/>
        <v>October</v>
      </c>
      <c r="H158" s="2" t="str">
        <f t="shared" si="7"/>
        <v>Week 4</v>
      </c>
      <c r="I158" s="2" t="str">
        <f t="shared" si="8"/>
        <v>Quarter 4</v>
      </c>
    </row>
    <row r="159" spans="1:9" x14ac:dyDescent="0.25">
      <c r="A159">
        <v>2800063170</v>
      </c>
      <c r="B159">
        <v>273118</v>
      </c>
      <c r="C159" t="s">
        <v>10</v>
      </c>
      <c r="D159">
        <v>7800</v>
      </c>
      <c r="F159" s="3">
        <v>44127</v>
      </c>
      <c r="G159" s="2" t="str">
        <f t="shared" si="6"/>
        <v>October</v>
      </c>
      <c r="H159" s="2" t="str">
        <f t="shared" si="7"/>
        <v>Week 4</v>
      </c>
      <c r="I159" s="2" t="str">
        <f t="shared" si="8"/>
        <v>Quarter 4</v>
      </c>
    </row>
    <row r="160" spans="1:9" x14ac:dyDescent="0.25">
      <c r="A160">
        <v>2800063171</v>
      </c>
      <c r="B160">
        <v>273118</v>
      </c>
      <c r="C160" t="s">
        <v>10</v>
      </c>
      <c r="D160">
        <v>487</v>
      </c>
      <c r="F160" s="3">
        <v>44127</v>
      </c>
      <c r="G160" s="2" t="str">
        <f t="shared" si="6"/>
        <v>October</v>
      </c>
      <c r="H160" s="2" t="str">
        <f t="shared" si="7"/>
        <v>Week 4</v>
      </c>
      <c r="I160" s="2" t="str">
        <f t="shared" si="8"/>
        <v>Quarter 4</v>
      </c>
    </row>
    <row r="161" spans="1:9" x14ac:dyDescent="0.25">
      <c r="A161">
        <v>2800063068</v>
      </c>
      <c r="B161">
        <v>273118</v>
      </c>
      <c r="C161" t="s">
        <v>14</v>
      </c>
      <c r="D161">
        <v>42.61</v>
      </c>
      <c r="F161" s="3">
        <v>44127</v>
      </c>
      <c r="G161" s="2" t="str">
        <f t="shared" si="6"/>
        <v>October</v>
      </c>
      <c r="H161" s="2" t="str">
        <f t="shared" si="7"/>
        <v>Week 4</v>
      </c>
      <c r="I161" s="2" t="str">
        <f t="shared" si="8"/>
        <v>Quarter 4</v>
      </c>
    </row>
    <row r="162" spans="1:9" x14ac:dyDescent="0.25">
      <c r="A162">
        <v>2800063131</v>
      </c>
      <c r="B162">
        <v>271351</v>
      </c>
      <c r="C162" t="s">
        <v>10</v>
      </c>
      <c r="D162">
        <v>4186.2</v>
      </c>
      <c r="F162" s="3">
        <v>44127</v>
      </c>
      <c r="G162" s="2" t="str">
        <f t="shared" si="6"/>
        <v>October</v>
      </c>
      <c r="H162" s="2" t="str">
        <f t="shared" si="7"/>
        <v>Week 4</v>
      </c>
      <c r="I162" s="2" t="str">
        <f t="shared" si="8"/>
        <v>Quarter 4</v>
      </c>
    </row>
    <row r="163" spans="1:9" x14ac:dyDescent="0.25">
      <c r="A163">
        <v>2800063024</v>
      </c>
      <c r="B163">
        <v>273114</v>
      </c>
      <c r="C163" t="s">
        <v>13</v>
      </c>
      <c r="D163">
        <v>79395.08</v>
      </c>
      <c r="F163" s="3">
        <v>44127</v>
      </c>
      <c r="G163" s="2" t="str">
        <f t="shared" si="6"/>
        <v>October</v>
      </c>
      <c r="H163" s="2" t="str">
        <f t="shared" si="7"/>
        <v>Week 4</v>
      </c>
      <c r="I163" s="2" t="str">
        <f t="shared" si="8"/>
        <v>Quarter 4</v>
      </c>
    </row>
    <row r="164" spans="1:9" x14ac:dyDescent="0.25">
      <c r="A164">
        <v>2800063153</v>
      </c>
      <c r="B164">
        <v>273118</v>
      </c>
      <c r="C164" t="s">
        <v>10</v>
      </c>
      <c r="D164">
        <v>8891.9500000000007</v>
      </c>
      <c r="F164" s="3">
        <v>44127</v>
      </c>
      <c r="G164" s="2" t="str">
        <f t="shared" si="6"/>
        <v>October</v>
      </c>
      <c r="H164" s="2" t="str">
        <f t="shared" si="7"/>
        <v>Week 4</v>
      </c>
      <c r="I164" s="2" t="str">
        <f t="shared" si="8"/>
        <v>Quarter 4</v>
      </c>
    </row>
    <row r="165" spans="1:9" x14ac:dyDescent="0.25">
      <c r="A165">
        <v>2800063152</v>
      </c>
      <c r="B165">
        <v>271351</v>
      </c>
      <c r="C165" t="s">
        <v>10</v>
      </c>
      <c r="D165">
        <v>23422.75</v>
      </c>
      <c r="F165" s="3">
        <v>44127</v>
      </c>
      <c r="G165" s="2" t="str">
        <f t="shared" si="6"/>
        <v>October</v>
      </c>
      <c r="H165" s="2" t="str">
        <f t="shared" si="7"/>
        <v>Week 4</v>
      </c>
      <c r="I165" s="2" t="str">
        <f t="shared" si="8"/>
        <v>Quarter 4</v>
      </c>
    </row>
    <row r="166" spans="1:9" x14ac:dyDescent="0.25">
      <c r="A166">
        <v>2800063064</v>
      </c>
      <c r="B166">
        <v>273114</v>
      </c>
      <c r="C166" t="s">
        <v>10</v>
      </c>
      <c r="D166">
        <v>1000</v>
      </c>
      <c r="F166" s="3">
        <v>44127</v>
      </c>
      <c r="G166" s="2" t="str">
        <f t="shared" si="6"/>
        <v>October</v>
      </c>
      <c r="H166" s="2" t="str">
        <f t="shared" si="7"/>
        <v>Week 4</v>
      </c>
      <c r="I166" s="2" t="str">
        <f t="shared" si="8"/>
        <v>Quarter 4</v>
      </c>
    </row>
    <row r="167" spans="1:9" x14ac:dyDescent="0.25">
      <c r="A167">
        <v>2800063133</v>
      </c>
      <c r="B167">
        <v>271151</v>
      </c>
      <c r="C167" t="s">
        <v>10</v>
      </c>
      <c r="D167">
        <v>2662</v>
      </c>
      <c r="F167" s="3">
        <v>44127</v>
      </c>
      <c r="G167" s="2" t="str">
        <f t="shared" si="6"/>
        <v>October</v>
      </c>
      <c r="H167" s="2" t="str">
        <f t="shared" si="7"/>
        <v>Week 4</v>
      </c>
      <c r="I167" s="2" t="str">
        <f t="shared" si="8"/>
        <v>Quarter 4</v>
      </c>
    </row>
    <row r="168" spans="1:9" x14ac:dyDescent="0.25">
      <c r="A168">
        <v>2800063134</v>
      </c>
      <c r="B168">
        <v>271151</v>
      </c>
      <c r="C168" t="s">
        <v>10</v>
      </c>
      <c r="D168">
        <v>2662</v>
      </c>
      <c r="F168" s="3">
        <v>44127</v>
      </c>
      <c r="G168" s="2" t="str">
        <f t="shared" si="6"/>
        <v>October</v>
      </c>
      <c r="H168" s="2" t="str">
        <f t="shared" si="7"/>
        <v>Week 4</v>
      </c>
      <c r="I168" s="2" t="str">
        <f t="shared" si="8"/>
        <v>Quarter 4</v>
      </c>
    </row>
    <row r="169" spans="1:9" x14ac:dyDescent="0.25">
      <c r="A169">
        <v>2800063135</v>
      </c>
      <c r="B169">
        <v>271151</v>
      </c>
      <c r="C169" t="s">
        <v>10</v>
      </c>
      <c r="D169">
        <v>2662</v>
      </c>
      <c r="F169" s="3">
        <v>44127</v>
      </c>
      <c r="G169" s="2" t="str">
        <f t="shared" si="6"/>
        <v>October</v>
      </c>
      <c r="H169" s="2" t="str">
        <f t="shared" si="7"/>
        <v>Week 4</v>
      </c>
      <c r="I169" s="2" t="str">
        <f t="shared" si="8"/>
        <v>Quarter 4</v>
      </c>
    </row>
    <row r="170" spans="1:9" x14ac:dyDescent="0.25">
      <c r="A170">
        <v>2800063136</v>
      </c>
      <c r="B170">
        <v>271151</v>
      </c>
      <c r="C170" t="s">
        <v>10</v>
      </c>
      <c r="D170">
        <v>2662</v>
      </c>
      <c r="F170" s="3">
        <v>44127</v>
      </c>
      <c r="G170" s="2" t="str">
        <f t="shared" si="6"/>
        <v>October</v>
      </c>
      <c r="H170" s="2" t="str">
        <f t="shared" si="7"/>
        <v>Week 4</v>
      </c>
      <c r="I170" s="2" t="str">
        <f t="shared" si="8"/>
        <v>Quarter 4</v>
      </c>
    </row>
    <row r="171" spans="1:9" x14ac:dyDescent="0.25">
      <c r="A171">
        <v>2800063137</v>
      </c>
      <c r="B171">
        <v>271151</v>
      </c>
      <c r="C171" t="s">
        <v>10</v>
      </c>
      <c r="D171">
        <v>2662</v>
      </c>
      <c r="F171" s="3">
        <v>44127</v>
      </c>
      <c r="G171" s="2" t="str">
        <f t="shared" si="6"/>
        <v>October</v>
      </c>
      <c r="H171" s="2" t="str">
        <f t="shared" si="7"/>
        <v>Week 4</v>
      </c>
      <c r="I171" s="2" t="str">
        <f t="shared" si="8"/>
        <v>Quarter 4</v>
      </c>
    </row>
    <row r="172" spans="1:9" x14ac:dyDescent="0.25">
      <c r="A172">
        <v>2800063138</v>
      </c>
      <c r="B172">
        <v>271151</v>
      </c>
      <c r="C172" t="s">
        <v>10</v>
      </c>
      <c r="D172">
        <v>2662</v>
      </c>
      <c r="F172" s="3">
        <v>44127</v>
      </c>
      <c r="G172" s="2" t="str">
        <f t="shared" si="6"/>
        <v>October</v>
      </c>
      <c r="H172" s="2" t="str">
        <f t="shared" si="7"/>
        <v>Week 4</v>
      </c>
      <c r="I172" s="2" t="str">
        <f t="shared" si="8"/>
        <v>Quarter 4</v>
      </c>
    </row>
    <row r="173" spans="1:9" x14ac:dyDescent="0.25">
      <c r="A173">
        <v>2800063139</v>
      </c>
      <c r="B173">
        <v>271151</v>
      </c>
      <c r="C173" t="s">
        <v>10</v>
      </c>
      <c r="D173">
        <v>2662</v>
      </c>
      <c r="F173" s="3">
        <v>44127</v>
      </c>
      <c r="G173" s="2" t="str">
        <f t="shared" si="6"/>
        <v>October</v>
      </c>
      <c r="H173" s="2" t="str">
        <f t="shared" si="7"/>
        <v>Week 4</v>
      </c>
      <c r="I173" s="2" t="str">
        <f t="shared" si="8"/>
        <v>Quarter 4</v>
      </c>
    </row>
    <row r="174" spans="1:9" x14ac:dyDescent="0.25">
      <c r="A174">
        <v>2800063140</v>
      </c>
      <c r="B174">
        <v>271151</v>
      </c>
      <c r="C174" t="s">
        <v>10</v>
      </c>
      <c r="D174">
        <v>2662</v>
      </c>
      <c r="F174" s="3">
        <v>44127</v>
      </c>
      <c r="G174" s="2" t="str">
        <f t="shared" si="6"/>
        <v>October</v>
      </c>
      <c r="H174" s="2" t="str">
        <f t="shared" si="7"/>
        <v>Week 4</v>
      </c>
      <c r="I174" s="2" t="str">
        <f t="shared" si="8"/>
        <v>Quarter 4</v>
      </c>
    </row>
    <row r="175" spans="1:9" x14ac:dyDescent="0.25">
      <c r="A175">
        <v>2800063141</v>
      </c>
      <c r="B175">
        <v>271151</v>
      </c>
      <c r="C175" t="s">
        <v>10</v>
      </c>
      <c r="D175">
        <v>2662</v>
      </c>
      <c r="F175" s="3">
        <v>44127</v>
      </c>
      <c r="G175" s="2" t="str">
        <f t="shared" si="6"/>
        <v>October</v>
      </c>
      <c r="H175" s="2" t="str">
        <f t="shared" si="7"/>
        <v>Week 4</v>
      </c>
      <c r="I175" s="2" t="str">
        <f t="shared" si="8"/>
        <v>Quarter 4</v>
      </c>
    </row>
    <row r="176" spans="1:9" x14ac:dyDescent="0.25">
      <c r="A176">
        <v>2800063142</v>
      </c>
      <c r="B176">
        <v>271151</v>
      </c>
      <c r="C176" t="s">
        <v>10</v>
      </c>
      <c r="D176">
        <v>2662</v>
      </c>
      <c r="F176" s="3">
        <v>44127</v>
      </c>
      <c r="G176" s="2" t="str">
        <f t="shared" si="6"/>
        <v>October</v>
      </c>
      <c r="H176" s="2" t="str">
        <f t="shared" si="7"/>
        <v>Week 4</v>
      </c>
      <c r="I176" s="2" t="str">
        <f t="shared" si="8"/>
        <v>Quarter 4</v>
      </c>
    </row>
    <row r="177" spans="1:9" x14ac:dyDescent="0.25">
      <c r="A177">
        <v>2800063062</v>
      </c>
      <c r="B177">
        <v>271351</v>
      </c>
      <c r="C177" t="s">
        <v>13</v>
      </c>
      <c r="D177">
        <v>2826.2</v>
      </c>
      <c r="F177" s="3">
        <v>44127</v>
      </c>
      <c r="G177" s="2" t="str">
        <f t="shared" si="6"/>
        <v>October</v>
      </c>
      <c r="H177" s="2" t="str">
        <f t="shared" si="7"/>
        <v>Week 4</v>
      </c>
      <c r="I177" s="2" t="str">
        <f t="shared" si="8"/>
        <v>Quarter 4</v>
      </c>
    </row>
    <row r="178" spans="1:9" x14ac:dyDescent="0.25">
      <c r="A178">
        <v>2800063147</v>
      </c>
      <c r="B178">
        <v>271351</v>
      </c>
      <c r="C178" t="s">
        <v>10</v>
      </c>
      <c r="D178">
        <v>366.19</v>
      </c>
      <c r="F178" s="3">
        <v>44127</v>
      </c>
      <c r="G178" s="2" t="str">
        <f t="shared" si="6"/>
        <v>October</v>
      </c>
      <c r="H178" s="2" t="str">
        <f t="shared" si="7"/>
        <v>Week 4</v>
      </c>
      <c r="I178" s="2" t="str">
        <f t="shared" si="8"/>
        <v>Quarter 4</v>
      </c>
    </row>
    <row r="179" spans="1:9" x14ac:dyDescent="0.25">
      <c r="A179">
        <v>2800063156</v>
      </c>
      <c r="B179">
        <v>273114</v>
      </c>
      <c r="C179" t="s">
        <v>13</v>
      </c>
      <c r="D179">
        <v>6.3</v>
      </c>
      <c r="F179" s="3">
        <v>44127</v>
      </c>
      <c r="G179" s="2" t="str">
        <f t="shared" si="6"/>
        <v>October</v>
      </c>
      <c r="H179" s="2" t="str">
        <f t="shared" si="7"/>
        <v>Week 4</v>
      </c>
      <c r="I179" s="2" t="str">
        <f t="shared" si="8"/>
        <v>Quarter 4</v>
      </c>
    </row>
    <row r="180" spans="1:9" x14ac:dyDescent="0.25">
      <c r="A180">
        <v>2800063163</v>
      </c>
      <c r="B180">
        <v>271351</v>
      </c>
      <c r="C180" t="s">
        <v>10</v>
      </c>
      <c r="D180">
        <v>800</v>
      </c>
      <c r="F180" s="3">
        <v>44127</v>
      </c>
      <c r="G180" s="2" t="str">
        <f t="shared" si="6"/>
        <v>October</v>
      </c>
      <c r="H180" s="2" t="str">
        <f t="shared" si="7"/>
        <v>Week 4</v>
      </c>
      <c r="I180" s="2" t="str">
        <f t="shared" si="8"/>
        <v>Quarter 4</v>
      </c>
    </row>
    <row r="181" spans="1:9" x14ac:dyDescent="0.25">
      <c r="A181">
        <v>2800063161</v>
      </c>
      <c r="B181">
        <v>273114</v>
      </c>
      <c r="C181" t="s">
        <v>17</v>
      </c>
      <c r="D181">
        <v>1888.85</v>
      </c>
      <c r="E181" t="s">
        <v>18</v>
      </c>
      <c r="F181" s="3">
        <v>44127</v>
      </c>
      <c r="G181" s="2" t="str">
        <f t="shared" si="6"/>
        <v>October</v>
      </c>
      <c r="H181" s="2" t="str">
        <f t="shared" si="7"/>
        <v>Week 4</v>
      </c>
      <c r="I181" s="2" t="str">
        <f t="shared" si="8"/>
        <v>Quarter 4</v>
      </c>
    </row>
    <row r="182" spans="1:9" x14ac:dyDescent="0.25">
      <c r="A182">
        <v>2800063169</v>
      </c>
      <c r="B182">
        <v>273114</v>
      </c>
      <c r="C182" t="s">
        <v>17</v>
      </c>
      <c r="D182">
        <v>2109.1999999999998</v>
      </c>
      <c r="E182" t="s">
        <v>18</v>
      </c>
      <c r="F182" s="3">
        <v>44127</v>
      </c>
      <c r="G182" s="2" t="str">
        <f t="shared" si="6"/>
        <v>October</v>
      </c>
      <c r="H182" s="2" t="str">
        <f t="shared" si="7"/>
        <v>Week 4</v>
      </c>
      <c r="I182" s="2" t="str">
        <f t="shared" si="8"/>
        <v>Quarter 4</v>
      </c>
    </row>
    <row r="183" spans="1:9" x14ac:dyDescent="0.25">
      <c r="A183">
        <v>2800063132</v>
      </c>
      <c r="B183">
        <v>271351</v>
      </c>
      <c r="C183" t="s">
        <v>10</v>
      </c>
      <c r="D183">
        <v>1618.05</v>
      </c>
      <c r="F183" s="3">
        <v>44127</v>
      </c>
      <c r="G183" s="2" t="str">
        <f t="shared" si="6"/>
        <v>October</v>
      </c>
      <c r="H183" s="2" t="str">
        <f t="shared" si="7"/>
        <v>Week 4</v>
      </c>
      <c r="I183" s="2" t="str">
        <f t="shared" si="8"/>
        <v>Quarter 4</v>
      </c>
    </row>
    <row r="184" spans="1:9" x14ac:dyDescent="0.25">
      <c r="A184">
        <v>2800063159</v>
      </c>
      <c r="B184">
        <v>273114</v>
      </c>
      <c r="C184" t="s">
        <v>17</v>
      </c>
      <c r="D184">
        <v>306.95</v>
      </c>
      <c r="E184" t="s">
        <v>18</v>
      </c>
      <c r="F184" s="3">
        <v>44127</v>
      </c>
      <c r="G184" s="2" t="str">
        <f t="shared" si="6"/>
        <v>October</v>
      </c>
      <c r="H184" s="2" t="str">
        <f t="shared" si="7"/>
        <v>Week 4</v>
      </c>
      <c r="I184" s="2" t="str">
        <f t="shared" si="8"/>
        <v>Quarter 4</v>
      </c>
    </row>
    <row r="185" spans="1:9" x14ac:dyDescent="0.25">
      <c r="A185">
        <v>2800063165</v>
      </c>
      <c r="B185">
        <v>273114</v>
      </c>
      <c r="C185" t="s">
        <v>17</v>
      </c>
      <c r="D185">
        <v>844.9</v>
      </c>
      <c r="E185" t="s">
        <v>18</v>
      </c>
      <c r="F185" s="3">
        <v>44127</v>
      </c>
      <c r="G185" s="2" t="str">
        <f t="shared" si="6"/>
        <v>October</v>
      </c>
      <c r="H185" s="2" t="str">
        <f t="shared" si="7"/>
        <v>Week 4</v>
      </c>
      <c r="I185" s="2" t="str">
        <f t="shared" si="8"/>
        <v>Quarter 4</v>
      </c>
    </row>
    <row r="186" spans="1:9" x14ac:dyDescent="0.25">
      <c r="A186">
        <v>2800063167</v>
      </c>
      <c r="B186">
        <v>273114</v>
      </c>
      <c r="C186" t="s">
        <v>10</v>
      </c>
      <c r="D186">
        <v>2000</v>
      </c>
      <c r="F186" s="3">
        <v>44127</v>
      </c>
      <c r="G186" s="2" t="str">
        <f t="shared" si="6"/>
        <v>October</v>
      </c>
      <c r="H186" s="2" t="str">
        <f t="shared" si="7"/>
        <v>Week 4</v>
      </c>
      <c r="I186" s="2" t="str">
        <f t="shared" si="8"/>
        <v>Quarter 4</v>
      </c>
    </row>
    <row r="187" spans="1:9" x14ac:dyDescent="0.25">
      <c r="A187">
        <v>2800063063</v>
      </c>
      <c r="B187">
        <v>273114</v>
      </c>
      <c r="C187" t="s">
        <v>14</v>
      </c>
      <c r="D187">
        <v>3752.55</v>
      </c>
      <c r="F187" s="3">
        <v>44127</v>
      </c>
      <c r="G187" s="2" t="str">
        <f t="shared" si="6"/>
        <v>October</v>
      </c>
      <c r="H187" s="2" t="str">
        <f t="shared" si="7"/>
        <v>Week 4</v>
      </c>
      <c r="I187" s="2" t="str">
        <f t="shared" si="8"/>
        <v>Quarter 4</v>
      </c>
    </row>
    <row r="188" spans="1:9" x14ac:dyDescent="0.25">
      <c r="A188">
        <v>2800063150</v>
      </c>
      <c r="B188">
        <v>271351</v>
      </c>
      <c r="C188" t="s">
        <v>10</v>
      </c>
      <c r="D188">
        <v>2486.75</v>
      </c>
      <c r="F188" s="3">
        <v>44127</v>
      </c>
      <c r="G188" s="2" t="str">
        <f t="shared" si="6"/>
        <v>October</v>
      </c>
      <c r="H188" s="2" t="str">
        <f t="shared" si="7"/>
        <v>Week 4</v>
      </c>
      <c r="I188" s="2" t="str">
        <f t="shared" si="8"/>
        <v>Quarter 4</v>
      </c>
    </row>
    <row r="189" spans="1:9" x14ac:dyDescent="0.25">
      <c r="A189">
        <v>2800063162</v>
      </c>
      <c r="B189">
        <v>271351</v>
      </c>
      <c r="C189" t="s">
        <v>10</v>
      </c>
      <c r="D189">
        <v>995.7</v>
      </c>
      <c r="F189" s="3">
        <v>44127</v>
      </c>
      <c r="G189" s="2" t="str">
        <f t="shared" si="6"/>
        <v>October</v>
      </c>
      <c r="H189" s="2" t="str">
        <f t="shared" si="7"/>
        <v>Week 4</v>
      </c>
      <c r="I189" s="2" t="str">
        <f t="shared" si="8"/>
        <v>Quarter 4</v>
      </c>
    </row>
    <row r="190" spans="1:9" x14ac:dyDescent="0.25">
      <c r="A190">
        <v>2800063143</v>
      </c>
      <c r="B190">
        <v>271151</v>
      </c>
      <c r="C190" t="s">
        <v>10</v>
      </c>
      <c r="D190">
        <v>2050</v>
      </c>
      <c r="F190" s="3">
        <v>44127</v>
      </c>
      <c r="G190" s="2" t="str">
        <f t="shared" si="6"/>
        <v>October</v>
      </c>
      <c r="H190" s="2" t="str">
        <f t="shared" si="7"/>
        <v>Week 4</v>
      </c>
      <c r="I190" s="2" t="str">
        <f t="shared" si="8"/>
        <v>Quarter 4</v>
      </c>
    </row>
    <row r="191" spans="1:9" x14ac:dyDescent="0.25">
      <c r="A191">
        <v>2800063145</v>
      </c>
      <c r="B191">
        <v>271351</v>
      </c>
      <c r="C191" t="s">
        <v>17</v>
      </c>
      <c r="D191">
        <v>38.75</v>
      </c>
      <c r="E191" t="s">
        <v>18</v>
      </c>
      <c r="F191" s="3">
        <v>44127</v>
      </c>
      <c r="G191" s="2" t="str">
        <f t="shared" si="6"/>
        <v>October</v>
      </c>
      <c r="H191" s="2" t="str">
        <f t="shared" si="7"/>
        <v>Week 4</v>
      </c>
      <c r="I191" s="2" t="str">
        <f t="shared" si="8"/>
        <v>Quarter 4</v>
      </c>
    </row>
    <row r="192" spans="1:9" x14ac:dyDescent="0.25">
      <c r="A192">
        <v>2800063149</v>
      </c>
      <c r="B192">
        <v>273114</v>
      </c>
      <c r="C192" t="s">
        <v>17</v>
      </c>
      <c r="D192">
        <v>159.9</v>
      </c>
      <c r="E192" t="s">
        <v>18</v>
      </c>
      <c r="F192" s="3">
        <v>44127</v>
      </c>
      <c r="G192" s="2" t="str">
        <f t="shared" si="6"/>
        <v>October</v>
      </c>
      <c r="H192" s="2" t="str">
        <f t="shared" si="7"/>
        <v>Week 4</v>
      </c>
      <c r="I192" s="2" t="str">
        <f t="shared" si="8"/>
        <v>Quarter 4</v>
      </c>
    </row>
    <row r="193" spans="1:9" x14ac:dyDescent="0.25">
      <c r="A193">
        <v>2800063148</v>
      </c>
      <c r="B193">
        <v>273114</v>
      </c>
      <c r="C193" t="s">
        <v>17</v>
      </c>
      <c r="D193">
        <v>500</v>
      </c>
      <c r="E193" t="s">
        <v>18</v>
      </c>
      <c r="F193" s="3">
        <v>44127</v>
      </c>
      <c r="G193" s="2" t="str">
        <f t="shared" si="6"/>
        <v>October</v>
      </c>
      <c r="H193" s="2" t="str">
        <f t="shared" si="7"/>
        <v>Week 4</v>
      </c>
      <c r="I193" s="2" t="str">
        <f t="shared" si="8"/>
        <v>Quarter 4</v>
      </c>
    </row>
    <row r="194" spans="1:9" x14ac:dyDescent="0.25">
      <c r="A194">
        <v>2800063155</v>
      </c>
      <c r="B194">
        <v>273114</v>
      </c>
      <c r="C194" t="s">
        <v>10</v>
      </c>
      <c r="D194">
        <v>295.2</v>
      </c>
      <c r="F194" s="3">
        <v>44127</v>
      </c>
      <c r="G194" s="2" t="str">
        <f t="shared" si="6"/>
        <v>October</v>
      </c>
      <c r="H194" s="2" t="str">
        <f t="shared" si="7"/>
        <v>Week 4</v>
      </c>
      <c r="I194" s="2" t="str">
        <f t="shared" si="8"/>
        <v>Quarter 4</v>
      </c>
    </row>
    <row r="195" spans="1:9" x14ac:dyDescent="0.25">
      <c r="A195">
        <v>2800063164</v>
      </c>
      <c r="B195">
        <v>273114</v>
      </c>
      <c r="C195" t="s">
        <v>17</v>
      </c>
      <c r="D195">
        <v>1414.95</v>
      </c>
      <c r="E195" t="s">
        <v>18</v>
      </c>
      <c r="F195" s="3">
        <v>44127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4</v>
      </c>
      <c r="I195" s="2" t="str">
        <f t="shared" ref="I195:I258" si="11">"Quarter " &amp; ROUNDUP((MONTH(F195))/3,0)</f>
        <v>Quarter 4</v>
      </c>
    </row>
    <row r="196" spans="1:9" x14ac:dyDescent="0.25">
      <c r="A196">
        <v>2800063168</v>
      </c>
      <c r="B196">
        <v>273114</v>
      </c>
      <c r="C196" t="s">
        <v>17</v>
      </c>
      <c r="D196">
        <v>700</v>
      </c>
      <c r="E196" t="s">
        <v>18</v>
      </c>
      <c r="F196" s="3">
        <v>44127</v>
      </c>
      <c r="G196" s="2" t="str">
        <f t="shared" si="9"/>
        <v>October</v>
      </c>
      <c r="H196" s="2" t="str">
        <f t="shared" si="10"/>
        <v>Week 4</v>
      </c>
      <c r="I196" s="2" t="str">
        <f t="shared" si="11"/>
        <v>Quarter 4</v>
      </c>
    </row>
    <row r="197" spans="1:9" x14ac:dyDescent="0.25">
      <c r="A197">
        <v>2800063154</v>
      </c>
      <c r="B197">
        <v>273114</v>
      </c>
      <c r="C197" t="s">
        <v>17</v>
      </c>
      <c r="D197">
        <v>300</v>
      </c>
      <c r="E197" t="s">
        <v>18</v>
      </c>
      <c r="F197" s="3">
        <v>44127</v>
      </c>
      <c r="G197" s="2" t="str">
        <f t="shared" si="9"/>
        <v>October</v>
      </c>
      <c r="H197" s="2" t="str">
        <f t="shared" si="10"/>
        <v>Week 4</v>
      </c>
      <c r="I197" s="2" t="str">
        <f t="shared" si="11"/>
        <v>Quarter 4</v>
      </c>
    </row>
    <row r="198" spans="1:9" x14ac:dyDescent="0.25">
      <c r="A198">
        <v>2800063151</v>
      </c>
      <c r="B198">
        <v>273114</v>
      </c>
      <c r="C198" t="s">
        <v>17</v>
      </c>
      <c r="D198">
        <v>1000</v>
      </c>
      <c r="E198" t="s">
        <v>18</v>
      </c>
      <c r="F198" s="3">
        <v>44127</v>
      </c>
      <c r="G198" s="2" t="str">
        <f t="shared" si="9"/>
        <v>October</v>
      </c>
      <c r="H198" s="2" t="str">
        <f t="shared" si="10"/>
        <v>Week 4</v>
      </c>
      <c r="I198" s="2" t="str">
        <f t="shared" si="11"/>
        <v>Quarter 4</v>
      </c>
    </row>
    <row r="199" spans="1:9" x14ac:dyDescent="0.25">
      <c r="A199">
        <v>2000085691</v>
      </c>
      <c r="B199" t="s">
        <v>19</v>
      </c>
      <c r="C199" t="s">
        <v>10</v>
      </c>
      <c r="D199">
        <v>11.15</v>
      </c>
      <c r="F199" s="3">
        <v>44127</v>
      </c>
      <c r="G199" s="2" t="str">
        <f t="shared" si="9"/>
        <v>October</v>
      </c>
      <c r="H199" s="2" t="str">
        <f t="shared" si="10"/>
        <v>Week 4</v>
      </c>
      <c r="I199" s="2" t="str">
        <f t="shared" si="11"/>
        <v>Quarter 4</v>
      </c>
    </row>
    <row r="200" spans="1:9" x14ac:dyDescent="0.25">
      <c r="A200">
        <v>2000085588</v>
      </c>
      <c r="B200" t="s">
        <v>19</v>
      </c>
      <c r="C200" t="s">
        <v>12</v>
      </c>
      <c r="D200">
        <v>202.25</v>
      </c>
      <c r="F200" s="3">
        <v>44127</v>
      </c>
      <c r="G200" s="2" t="str">
        <f t="shared" si="9"/>
        <v>October</v>
      </c>
      <c r="H200" s="2" t="str">
        <f t="shared" si="10"/>
        <v>Week 4</v>
      </c>
      <c r="I200" s="2" t="str">
        <f t="shared" si="11"/>
        <v>Quarter 4</v>
      </c>
    </row>
    <row r="201" spans="1:9" x14ac:dyDescent="0.25">
      <c r="A201">
        <v>2000085700</v>
      </c>
      <c r="B201" t="s">
        <v>19</v>
      </c>
      <c r="C201" t="s">
        <v>13</v>
      </c>
      <c r="D201">
        <v>69.5</v>
      </c>
      <c r="F201" s="3">
        <v>44127</v>
      </c>
      <c r="G201" s="2" t="str">
        <f t="shared" si="9"/>
        <v>October</v>
      </c>
      <c r="H201" s="2" t="str">
        <f t="shared" si="10"/>
        <v>Week 4</v>
      </c>
      <c r="I201" s="2" t="str">
        <f t="shared" si="11"/>
        <v>Quarter 4</v>
      </c>
    </row>
    <row r="202" spans="1:9" x14ac:dyDescent="0.25">
      <c r="A202">
        <v>2000085708</v>
      </c>
      <c r="B202" t="s">
        <v>19</v>
      </c>
      <c r="C202" t="s">
        <v>9</v>
      </c>
      <c r="D202">
        <v>59.75</v>
      </c>
      <c r="F202" s="3">
        <v>44127</v>
      </c>
      <c r="G202" s="2" t="str">
        <f t="shared" si="9"/>
        <v>October</v>
      </c>
      <c r="H202" s="2" t="str">
        <f t="shared" si="10"/>
        <v>Week 4</v>
      </c>
      <c r="I202" s="2" t="str">
        <f t="shared" si="11"/>
        <v>Quarter 4</v>
      </c>
    </row>
    <row r="203" spans="1:9" x14ac:dyDescent="0.25">
      <c r="A203">
        <v>2000085628</v>
      </c>
      <c r="B203" t="s">
        <v>19</v>
      </c>
      <c r="C203" t="s">
        <v>14</v>
      </c>
      <c r="D203">
        <v>153.9</v>
      </c>
      <c r="F203" s="3">
        <v>44127</v>
      </c>
      <c r="G203" s="2" t="str">
        <f t="shared" si="9"/>
        <v>October</v>
      </c>
      <c r="H203" s="2" t="str">
        <f t="shared" si="10"/>
        <v>Week 4</v>
      </c>
      <c r="I203" s="2" t="str">
        <f t="shared" si="11"/>
        <v>Quarter 4</v>
      </c>
    </row>
    <row r="204" spans="1:9" x14ac:dyDescent="0.25">
      <c r="A204">
        <v>2000085602</v>
      </c>
      <c r="B204" t="s">
        <v>19</v>
      </c>
      <c r="C204" t="s">
        <v>13</v>
      </c>
      <c r="D204">
        <v>397.01</v>
      </c>
      <c r="F204" s="3">
        <v>44127</v>
      </c>
      <c r="G204" s="2" t="str">
        <f t="shared" si="9"/>
        <v>October</v>
      </c>
      <c r="H204" s="2" t="str">
        <f t="shared" si="10"/>
        <v>Week 4</v>
      </c>
      <c r="I204" s="2" t="str">
        <f t="shared" si="11"/>
        <v>Quarter 4</v>
      </c>
    </row>
    <row r="205" spans="1:9" x14ac:dyDescent="0.25">
      <c r="A205">
        <v>2000085663</v>
      </c>
      <c r="B205" t="s">
        <v>19</v>
      </c>
      <c r="C205" t="s">
        <v>11</v>
      </c>
      <c r="D205">
        <v>7.8</v>
      </c>
      <c r="F205" s="3">
        <v>44127</v>
      </c>
      <c r="G205" s="2" t="str">
        <f t="shared" si="9"/>
        <v>October</v>
      </c>
      <c r="H205" s="2" t="str">
        <f t="shared" si="10"/>
        <v>Week 4</v>
      </c>
      <c r="I205" s="2" t="str">
        <f t="shared" si="11"/>
        <v>Quarter 4</v>
      </c>
    </row>
    <row r="206" spans="1:9" x14ac:dyDescent="0.25">
      <c r="A206">
        <v>2000085568</v>
      </c>
      <c r="B206" t="s">
        <v>19</v>
      </c>
      <c r="C206" t="s">
        <v>12</v>
      </c>
      <c r="D206">
        <v>485.1</v>
      </c>
      <c r="F206" s="3">
        <v>44127</v>
      </c>
      <c r="G206" s="2" t="str">
        <f t="shared" si="9"/>
        <v>October</v>
      </c>
      <c r="H206" s="2" t="str">
        <f t="shared" si="10"/>
        <v>Week 4</v>
      </c>
      <c r="I206" s="2" t="str">
        <f t="shared" si="11"/>
        <v>Quarter 4</v>
      </c>
    </row>
    <row r="207" spans="1:9" x14ac:dyDescent="0.25">
      <c r="A207">
        <v>2000085580</v>
      </c>
      <c r="B207" t="s">
        <v>19</v>
      </c>
      <c r="C207" t="s">
        <v>12</v>
      </c>
      <c r="D207">
        <v>337.2</v>
      </c>
      <c r="F207" s="3">
        <v>44127</v>
      </c>
      <c r="G207" s="2" t="str">
        <f t="shared" si="9"/>
        <v>October</v>
      </c>
      <c r="H207" s="2" t="str">
        <f t="shared" si="10"/>
        <v>Week 4</v>
      </c>
      <c r="I207" s="2" t="str">
        <f t="shared" si="11"/>
        <v>Quarter 4</v>
      </c>
    </row>
    <row r="208" spans="1:9" x14ac:dyDescent="0.25">
      <c r="A208">
        <v>2000085709</v>
      </c>
      <c r="B208" t="s">
        <v>19</v>
      </c>
      <c r="C208" t="s">
        <v>9</v>
      </c>
      <c r="D208">
        <v>1192.3</v>
      </c>
      <c r="F208" s="3">
        <v>44127</v>
      </c>
      <c r="G208" s="2" t="str">
        <f t="shared" si="9"/>
        <v>October</v>
      </c>
      <c r="H208" s="2" t="str">
        <f t="shared" si="10"/>
        <v>Week 4</v>
      </c>
      <c r="I208" s="2" t="str">
        <f t="shared" si="11"/>
        <v>Quarter 4</v>
      </c>
    </row>
    <row r="209" spans="1:9" x14ac:dyDescent="0.25">
      <c r="A209">
        <v>2000085710</v>
      </c>
      <c r="B209" t="s">
        <v>19</v>
      </c>
      <c r="C209" t="s">
        <v>9</v>
      </c>
      <c r="D209">
        <v>45.75</v>
      </c>
      <c r="F209" s="3">
        <v>44127</v>
      </c>
      <c r="G209" s="2" t="str">
        <f t="shared" si="9"/>
        <v>October</v>
      </c>
      <c r="H209" s="2" t="str">
        <f t="shared" si="10"/>
        <v>Week 4</v>
      </c>
      <c r="I209" s="2" t="str">
        <f t="shared" si="11"/>
        <v>Quarter 4</v>
      </c>
    </row>
    <row r="210" spans="1:9" x14ac:dyDescent="0.25">
      <c r="A210">
        <v>2000085711</v>
      </c>
      <c r="B210" t="s">
        <v>19</v>
      </c>
      <c r="C210" t="s">
        <v>9</v>
      </c>
      <c r="D210">
        <v>6670.35</v>
      </c>
      <c r="F210" s="3">
        <v>44127</v>
      </c>
      <c r="G210" s="2" t="str">
        <f t="shared" si="9"/>
        <v>October</v>
      </c>
      <c r="H210" s="2" t="str">
        <f t="shared" si="10"/>
        <v>Week 4</v>
      </c>
      <c r="I210" s="2" t="str">
        <f t="shared" si="11"/>
        <v>Quarter 4</v>
      </c>
    </row>
    <row r="211" spans="1:9" x14ac:dyDescent="0.25">
      <c r="A211">
        <v>2000085535</v>
      </c>
      <c r="B211" t="s">
        <v>19</v>
      </c>
      <c r="C211" t="s">
        <v>12</v>
      </c>
      <c r="D211">
        <v>3077.95</v>
      </c>
      <c r="F211" s="3">
        <v>44127</v>
      </c>
      <c r="G211" s="2" t="str">
        <f t="shared" si="9"/>
        <v>October</v>
      </c>
      <c r="H211" s="2" t="str">
        <f t="shared" si="10"/>
        <v>Week 4</v>
      </c>
      <c r="I211" s="2" t="str">
        <f t="shared" si="11"/>
        <v>Quarter 4</v>
      </c>
    </row>
    <row r="212" spans="1:9" x14ac:dyDescent="0.25">
      <c r="A212">
        <v>2000085536</v>
      </c>
      <c r="B212" t="s">
        <v>19</v>
      </c>
      <c r="C212" t="s">
        <v>12</v>
      </c>
      <c r="D212">
        <v>45.65</v>
      </c>
      <c r="F212" s="3">
        <v>44127</v>
      </c>
      <c r="G212" s="2" t="str">
        <f t="shared" si="9"/>
        <v>October</v>
      </c>
      <c r="H212" s="2" t="str">
        <f t="shared" si="10"/>
        <v>Week 4</v>
      </c>
      <c r="I212" s="2" t="str">
        <f t="shared" si="11"/>
        <v>Quarter 4</v>
      </c>
    </row>
    <row r="213" spans="1:9" x14ac:dyDescent="0.25">
      <c r="A213">
        <v>2000085590</v>
      </c>
      <c r="B213" t="s">
        <v>19</v>
      </c>
      <c r="C213" t="s">
        <v>12</v>
      </c>
      <c r="D213">
        <v>200.7</v>
      </c>
      <c r="F213" s="3">
        <v>44127</v>
      </c>
      <c r="G213" s="2" t="str">
        <f t="shared" si="9"/>
        <v>October</v>
      </c>
      <c r="H213" s="2" t="str">
        <f t="shared" si="10"/>
        <v>Week 4</v>
      </c>
      <c r="I213" s="2" t="str">
        <f t="shared" si="11"/>
        <v>Quarter 4</v>
      </c>
    </row>
    <row r="214" spans="1:9" x14ac:dyDescent="0.25">
      <c r="A214">
        <v>2000085557</v>
      </c>
      <c r="B214" t="s">
        <v>19</v>
      </c>
      <c r="C214" t="s">
        <v>12</v>
      </c>
      <c r="D214">
        <v>700.65</v>
      </c>
      <c r="F214" s="3">
        <v>44127</v>
      </c>
      <c r="G214" s="2" t="str">
        <f t="shared" si="9"/>
        <v>October</v>
      </c>
      <c r="H214" s="2" t="str">
        <f t="shared" si="10"/>
        <v>Week 4</v>
      </c>
      <c r="I214" s="2" t="str">
        <f t="shared" si="11"/>
        <v>Quarter 4</v>
      </c>
    </row>
    <row r="215" spans="1:9" x14ac:dyDescent="0.25">
      <c r="A215">
        <v>2000085558</v>
      </c>
      <c r="B215" t="s">
        <v>19</v>
      </c>
      <c r="C215" t="s">
        <v>12</v>
      </c>
      <c r="D215">
        <v>371.25</v>
      </c>
      <c r="F215" s="3">
        <v>44127</v>
      </c>
      <c r="G215" s="2" t="str">
        <f t="shared" si="9"/>
        <v>October</v>
      </c>
      <c r="H215" s="2" t="str">
        <f t="shared" si="10"/>
        <v>Week 4</v>
      </c>
      <c r="I215" s="2" t="str">
        <f t="shared" si="11"/>
        <v>Quarter 4</v>
      </c>
    </row>
    <row r="216" spans="1:9" x14ac:dyDescent="0.25">
      <c r="A216">
        <v>2000085593</v>
      </c>
      <c r="B216" t="s">
        <v>19</v>
      </c>
      <c r="C216" t="s">
        <v>12</v>
      </c>
      <c r="D216">
        <v>184.25</v>
      </c>
      <c r="F216" s="3">
        <v>44127</v>
      </c>
      <c r="G216" s="2" t="str">
        <f t="shared" si="9"/>
        <v>October</v>
      </c>
      <c r="H216" s="2" t="str">
        <f t="shared" si="10"/>
        <v>Week 4</v>
      </c>
      <c r="I216" s="2" t="str">
        <f t="shared" si="11"/>
        <v>Quarter 4</v>
      </c>
    </row>
    <row r="217" spans="1:9" x14ac:dyDescent="0.25">
      <c r="A217">
        <v>2000085712</v>
      </c>
      <c r="B217" t="s">
        <v>19</v>
      </c>
      <c r="C217" t="s">
        <v>9</v>
      </c>
      <c r="D217">
        <v>46.15</v>
      </c>
      <c r="F217" s="3">
        <v>44127</v>
      </c>
      <c r="G217" s="2" t="str">
        <f t="shared" si="9"/>
        <v>October</v>
      </c>
      <c r="H217" s="2" t="str">
        <f t="shared" si="10"/>
        <v>Week 4</v>
      </c>
      <c r="I217" s="2" t="str">
        <f t="shared" si="11"/>
        <v>Quarter 4</v>
      </c>
    </row>
    <row r="218" spans="1:9" x14ac:dyDescent="0.25">
      <c r="A218">
        <v>2000085713</v>
      </c>
      <c r="B218" t="s">
        <v>19</v>
      </c>
      <c r="C218" t="s">
        <v>9</v>
      </c>
      <c r="D218">
        <v>7.8</v>
      </c>
      <c r="F218" s="3">
        <v>44127</v>
      </c>
      <c r="G218" s="2" t="str">
        <f t="shared" si="9"/>
        <v>October</v>
      </c>
      <c r="H218" s="2" t="str">
        <f t="shared" si="10"/>
        <v>Week 4</v>
      </c>
      <c r="I218" s="2" t="str">
        <f t="shared" si="11"/>
        <v>Quarter 4</v>
      </c>
    </row>
    <row r="219" spans="1:9" x14ac:dyDescent="0.25">
      <c r="A219">
        <v>2000085714</v>
      </c>
      <c r="B219" t="s">
        <v>19</v>
      </c>
      <c r="C219" t="s">
        <v>9</v>
      </c>
      <c r="D219">
        <v>34.9</v>
      </c>
      <c r="F219" s="3">
        <v>44127</v>
      </c>
      <c r="G219" s="2" t="str">
        <f t="shared" si="9"/>
        <v>October</v>
      </c>
      <c r="H219" s="2" t="str">
        <f t="shared" si="10"/>
        <v>Week 4</v>
      </c>
      <c r="I219" s="2" t="str">
        <f t="shared" si="11"/>
        <v>Quarter 4</v>
      </c>
    </row>
    <row r="220" spans="1:9" x14ac:dyDescent="0.25">
      <c r="A220">
        <v>2000085716</v>
      </c>
      <c r="B220" t="s">
        <v>19</v>
      </c>
      <c r="C220" t="s">
        <v>9</v>
      </c>
      <c r="D220">
        <v>91.55</v>
      </c>
      <c r="F220" s="3">
        <v>44127</v>
      </c>
      <c r="G220" s="2" t="str">
        <f t="shared" si="9"/>
        <v>October</v>
      </c>
      <c r="H220" s="2" t="str">
        <f t="shared" si="10"/>
        <v>Week 4</v>
      </c>
      <c r="I220" s="2" t="str">
        <f t="shared" si="11"/>
        <v>Quarter 4</v>
      </c>
    </row>
    <row r="221" spans="1:9" x14ac:dyDescent="0.25">
      <c r="A221">
        <v>2000085574</v>
      </c>
      <c r="B221" t="s">
        <v>19</v>
      </c>
      <c r="C221" t="s">
        <v>12</v>
      </c>
      <c r="D221">
        <v>417.45</v>
      </c>
      <c r="F221" s="3">
        <v>44127</v>
      </c>
      <c r="G221" s="2" t="str">
        <f t="shared" si="9"/>
        <v>October</v>
      </c>
      <c r="H221" s="2" t="str">
        <f t="shared" si="10"/>
        <v>Week 4</v>
      </c>
      <c r="I221" s="2" t="str">
        <f t="shared" si="11"/>
        <v>Quarter 4</v>
      </c>
    </row>
    <row r="222" spans="1:9" x14ac:dyDescent="0.25">
      <c r="A222">
        <v>2000085598</v>
      </c>
      <c r="B222" t="s">
        <v>19</v>
      </c>
      <c r="C222" t="s">
        <v>13</v>
      </c>
      <c r="D222">
        <v>418.35</v>
      </c>
      <c r="F222" s="3">
        <v>44127</v>
      </c>
      <c r="G222" s="2" t="str">
        <f t="shared" si="9"/>
        <v>October</v>
      </c>
      <c r="H222" s="2" t="str">
        <f t="shared" si="10"/>
        <v>Week 4</v>
      </c>
      <c r="I222" s="2" t="str">
        <f t="shared" si="11"/>
        <v>Quarter 4</v>
      </c>
    </row>
    <row r="223" spans="1:9" x14ac:dyDescent="0.25">
      <c r="A223">
        <v>2000085572</v>
      </c>
      <c r="B223" t="s">
        <v>19</v>
      </c>
      <c r="C223" t="s">
        <v>13</v>
      </c>
      <c r="D223">
        <v>6723.1</v>
      </c>
      <c r="F223" s="3">
        <v>44127</v>
      </c>
      <c r="G223" s="2" t="str">
        <f t="shared" si="9"/>
        <v>October</v>
      </c>
      <c r="H223" s="2" t="str">
        <f t="shared" si="10"/>
        <v>Week 4</v>
      </c>
      <c r="I223" s="2" t="str">
        <f t="shared" si="11"/>
        <v>Quarter 4</v>
      </c>
    </row>
    <row r="224" spans="1:9" x14ac:dyDescent="0.25">
      <c r="A224">
        <v>2000085563</v>
      </c>
      <c r="B224" t="s">
        <v>19</v>
      </c>
      <c r="C224" t="s">
        <v>12</v>
      </c>
      <c r="D224">
        <v>546.35</v>
      </c>
      <c r="F224" s="3">
        <v>44127</v>
      </c>
      <c r="G224" s="2" t="str">
        <f t="shared" si="9"/>
        <v>October</v>
      </c>
      <c r="H224" s="2" t="str">
        <f t="shared" si="10"/>
        <v>Week 4</v>
      </c>
      <c r="I224" s="2" t="str">
        <f t="shared" si="11"/>
        <v>Quarter 4</v>
      </c>
    </row>
    <row r="225" spans="1:9" x14ac:dyDescent="0.25">
      <c r="A225">
        <v>2000085549</v>
      </c>
      <c r="B225" t="s">
        <v>19</v>
      </c>
      <c r="C225" t="s">
        <v>12</v>
      </c>
      <c r="D225">
        <v>1078.2</v>
      </c>
      <c r="F225" s="3">
        <v>44127</v>
      </c>
      <c r="G225" s="2" t="str">
        <f t="shared" si="9"/>
        <v>October</v>
      </c>
      <c r="H225" s="2" t="str">
        <f t="shared" si="10"/>
        <v>Week 4</v>
      </c>
      <c r="I225" s="2" t="str">
        <f t="shared" si="11"/>
        <v>Quarter 4</v>
      </c>
    </row>
    <row r="226" spans="1:9" x14ac:dyDescent="0.25">
      <c r="A226">
        <v>2000085717</v>
      </c>
      <c r="B226" t="s">
        <v>19</v>
      </c>
      <c r="C226" t="s">
        <v>9</v>
      </c>
      <c r="D226">
        <v>15.65</v>
      </c>
      <c r="F226" s="3">
        <v>44127</v>
      </c>
      <c r="G226" s="2" t="str">
        <f t="shared" si="9"/>
        <v>October</v>
      </c>
      <c r="H226" s="2" t="str">
        <f t="shared" si="10"/>
        <v>Week 4</v>
      </c>
      <c r="I226" s="2" t="str">
        <f t="shared" si="11"/>
        <v>Quarter 4</v>
      </c>
    </row>
    <row r="227" spans="1:9" x14ac:dyDescent="0.25">
      <c r="A227">
        <v>2000085718</v>
      </c>
      <c r="B227" t="s">
        <v>19</v>
      </c>
      <c r="C227" t="s">
        <v>9</v>
      </c>
      <c r="D227">
        <v>58.5</v>
      </c>
      <c r="F227" s="3">
        <v>44127</v>
      </c>
      <c r="G227" s="2" t="str">
        <f t="shared" si="9"/>
        <v>October</v>
      </c>
      <c r="H227" s="2" t="str">
        <f t="shared" si="10"/>
        <v>Week 4</v>
      </c>
      <c r="I227" s="2" t="str">
        <f t="shared" si="11"/>
        <v>Quarter 4</v>
      </c>
    </row>
    <row r="228" spans="1:9" x14ac:dyDescent="0.25">
      <c r="A228">
        <v>2000085719</v>
      </c>
      <c r="B228" t="s">
        <v>19</v>
      </c>
      <c r="C228" t="s">
        <v>9</v>
      </c>
      <c r="D228">
        <v>87.3</v>
      </c>
      <c r="F228" s="3">
        <v>44127</v>
      </c>
      <c r="G228" s="2" t="str">
        <f t="shared" si="9"/>
        <v>October</v>
      </c>
      <c r="H228" s="2" t="str">
        <f t="shared" si="10"/>
        <v>Week 4</v>
      </c>
      <c r="I228" s="2" t="str">
        <f t="shared" si="11"/>
        <v>Quarter 4</v>
      </c>
    </row>
    <row r="229" spans="1:9" x14ac:dyDescent="0.25">
      <c r="A229">
        <v>2000085646</v>
      </c>
      <c r="B229" t="s">
        <v>19</v>
      </c>
      <c r="C229" t="s">
        <v>14</v>
      </c>
      <c r="D229">
        <v>16.55</v>
      </c>
      <c r="F229" s="3">
        <v>44127</v>
      </c>
      <c r="G229" s="2" t="str">
        <f t="shared" si="9"/>
        <v>October</v>
      </c>
      <c r="H229" s="2" t="str">
        <f t="shared" si="10"/>
        <v>Week 4</v>
      </c>
      <c r="I229" s="2" t="str">
        <f t="shared" si="11"/>
        <v>Quarter 4</v>
      </c>
    </row>
    <row r="230" spans="1:9" x14ac:dyDescent="0.25">
      <c r="A230">
        <v>2000085559</v>
      </c>
      <c r="B230" t="s">
        <v>19</v>
      </c>
      <c r="C230" t="s">
        <v>12</v>
      </c>
      <c r="D230">
        <v>674.96</v>
      </c>
      <c r="F230" s="3">
        <v>44127</v>
      </c>
      <c r="G230" s="2" t="str">
        <f t="shared" si="9"/>
        <v>October</v>
      </c>
      <c r="H230" s="2" t="str">
        <f t="shared" si="10"/>
        <v>Week 4</v>
      </c>
      <c r="I230" s="2" t="str">
        <f t="shared" si="11"/>
        <v>Quarter 4</v>
      </c>
    </row>
    <row r="231" spans="1:9" x14ac:dyDescent="0.25">
      <c r="A231">
        <v>2000085556</v>
      </c>
      <c r="B231" t="s">
        <v>19</v>
      </c>
      <c r="C231" t="s">
        <v>12</v>
      </c>
      <c r="D231">
        <v>705</v>
      </c>
      <c r="F231" s="3">
        <v>44127</v>
      </c>
      <c r="G231" s="2" t="str">
        <f t="shared" si="9"/>
        <v>October</v>
      </c>
      <c r="H231" s="2" t="str">
        <f t="shared" si="10"/>
        <v>Week 4</v>
      </c>
      <c r="I231" s="2" t="str">
        <f t="shared" si="11"/>
        <v>Quarter 4</v>
      </c>
    </row>
    <row r="232" spans="1:9" x14ac:dyDescent="0.25">
      <c r="A232">
        <v>2000085720</v>
      </c>
      <c r="B232" t="s">
        <v>19</v>
      </c>
      <c r="C232" t="s">
        <v>9</v>
      </c>
      <c r="D232">
        <v>18</v>
      </c>
      <c r="F232" s="3">
        <v>44127</v>
      </c>
      <c r="G232" s="2" t="str">
        <f t="shared" si="9"/>
        <v>October</v>
      </c>
      <c r="H232" s="2" t="str">
        <f t="shared" si="10"/>
        <v>Week 4</v>
      </c>
      <c r="I232" s="2" t="str">
        <f t="shared" si="11"/>
        <v>Quarter 4</v>
      </c>
    </row>
    <row r="233" spans="1:9" x14ac:dyDescent="0.25">
      <c r="A233">
        <v>2000085721</v>
      </c>
      <c r="B233" t="s">
        <v>19</v>
      </c>
      <c r="C233" t="s">
        <v>9</v>
      </c>
      <c r="D233">
        <v>29.55</v>
      </c>
      <c r="F233" s="3">
        <v>44127</v>
      </c>
      <c r="G233" s="2" t="str">
        <f t="shared" si="9"/>
        <v>October</v>
      </c>
      <c r="H233" s="2" t="str">
        <f t="shared" si="10"/>
        <v>Week 4</v>
      </c>
      <c r="I233" s="2" t="str">
        <f t="shared" si="11"/>
        <v>Quarter 4</v>
      </c>
    </row>
    <row r="234" spans="1:9" x14ac:dyDescent="0.25">
      <c r="A234">
        <v>2000085540</v>
      </c>
      <c r="B234" t="s">
        <v>19</v>
      </c>
      <c r="C234" t="s">
        <v>12</v>
      </c>
      <c r="D234">
        <v>2671.3</v>
      </c>
      <c r="F234" s="3">
        <v>44127</v>
      </c>
      <c r="G234" s="2" t="str">
        <f t="shared" si="9"/>
        <v>October</v>
      </c>
      <c r="H234" s="2" t="str">
        <f t="shared" si="10"/>
        <v>Week 4</v>
      </c>
      <c r="I234" s="2" t="str">
        <f t="shared" si="11"/>
        <v>Quarter 4</v>
      </c>
    </row>
    <row r="235" spans="1:9" x14ac:dyDescent="0.25">
      <c r="A235">
        <v>2000085671</v>
      </c>
      <c r="B235" t="s">
        <v>19</v>
      </c>
      <c r="C235" t="s">
        <v>11</v>
      </c>
      <c r="D235">
        <v>47.1</v>
      </c>
      <c r="F235" s="3">
        <v>44127</v>
      </c>
      <c r="G235" s="2" t="str">
        <f t="shared" si="9"/>
        <v>October</v>
      </c>
      <c r="H235" s="2" t="str">
        <f t="shared" si="10"/>
        <v>Week 4</v>
      </c>
      <c r="I235" s="2" t="str">
        <f t="shared" si="11"/>
        <v>Quarter 4</v>
      </c>
    </row>
    <row r="236" spans="1:9" x14ac:dyDescent="0.25">
      <c r="A236">
        <v>2000085666</v>
      </c>
      <c r="B236" t="s">
        <v>19</v>
      </c>
      <c r="C236" t="s">
        <v>11</v>
      </c>
      <c r="D236">
        <v>98.45</v>
      </c>
      <c r="F236" s="3">
        <v>44127</v>
      </c>
      <c r="G236" s="2" t="str">
        <f t="shared" si="9"/>
        <v>October</v>
      </c>
      <c r="H236" s="2" t="str">
        <f t="shared" si="10"/>
        <v>Week 4</v>
      </c>
      <c r="I236" s="2" t="str">
        <f t="shared" si="11"/>
        <v>Quarter 4</v>
      </c>
    </row>
    <row r="237" spans="1:9" x14ac:dyDescent="0.25">
      <c r="A237">
        <v>2000085744</v>
      </c>
      <c r="B237" t="s">
        <v>19</v>
      </c>
      <c r="C237" t="s">
        <v>11</v>
      </c>
      <c r="D237">
        <v>24.55</v>
      </c>
      <c r="F237" s="3">
        <v>44127</v>
      </c>
      <c r="G237" s="2" t="str">
        <f t="shared" si="9"/>
        <v>October</v>
      </c>
      <c r="H237" s="2" t="str">
        <f t="shared" si="10"/>
        <v>Week 4</v>
      </c>
      <c r="I237" s="2" t="str">
        <f t="shared" si="11"/>
        <v>Quarter 4</v>
      </c>
    </row>
    <row r="238" spans="1:9" x14ac:dyDescent="0.25">
      <c r="A238">
        <v>2000085722</v>
      </c>
      <c r="B238" t="s">
        <v>19</v>
      </c>
      <c r="C238" t="s">
        <v>9</v>
      </c>
      <c r="D238">
        <v>29.2</v>
      </c>
      <c r="F238" s="3">
        <v>44127</v>
      </c>
      <c r="G238" s="2" t="str">
        <f t="shared" si="9"/>
        <v>October</v>
      </c>
      <c r="H238" s="2" t="str">
        <f t="shared" si="10"/>
        <v>Week 4</v>
      </c>
      <c r="I238" s="2" t="str">
        <f t="shared" si="11"/>
        <v>Quarter 4</v>
      </c>
    </row>
    <row r="239" spans="1:9" x14ac:dyDescent="0.25">
      <c r="A239">
        <v>2000085723</v>
      </c>
      <c r="B239" t="s">
        <v>19</v>
      </c>
      <c r="C239" t="s">
        <v>9</v>
      </c>
      <c r="D239">
        <v>26.55</v>
      </c>
      <c r="F239" s="3">
        <v>44127</v>
      </c>
      <c r="G239" s="2" t="str">
        <f t="shared" si="9"/>
        <v>October</v>
      </c>
      <c r="H239" s="2" t="str">
        <f t="shared" si="10"/>
        <v>Week 4</v>
      </c>
      <c r="I239" s="2" t="str">
        <f t="shared" si="11"/>
        <v>Quarter 4</v>
      </c>
    </row>
    <row r="240" spans="1:9" x14ac:dyDescent="0.25">
      <c r="A240">
        <v>2000085724</v>
      </c>
      <c r="B240" t="s">
        <v>19</v>
      </c>
      <c r="C240" t="s">
        <v>9</v>
      </c>
      <c r="D240">
        <v>64.45</v>
      </c>
      <c r="F240" s="3">
        <v>44127</v>
      </c>
      <c r="G240" s="2" t="str">
        <f t="shared" si="9"/>
        <v>October</v>
      </c>
      <c r="H240" s="2" t="str">
        <f t="shared" si="10"/>
        <v>Week 4</v>
      </c>
      <c r="I240" s="2" t="str">
        <f t="shared" si="11"/>
        <v>Quarter 4</v>
      </c>
    </row>
    <row r="241" spans="1:9" x14ac:dyDescent="0.25">
      <c r="A241">
        <v>2000085560</v>
      </c>
      <c r="B241" t="s">
        <v>19</v>
      </c>
      <c r="C241" t="s">
        <v>12</v>
      </c>
      <c r="D241">
        <v>636</v>
      </c>
      <c r="F241" s="3">
        <v>44127</v>
      </c>
      <c r="G241" s="2" t="str">
        <f t="shared" si="9"/>
        <v>October</v>
      </c>
      <c r="H241" s="2" t="str">
        <f t="shared" si="10"/>
        <v>Week 4</v>
      </c>
      <c r="I241" s="2" t="str">
        <f t="shared" si="11"/>
        <v>Quarter 4</v>
      </c>
    </row>
    <row r="242" spans="1:9" x14ac:dyDescent="0.25">
      <c r="A242">
        <v>2000085664</v>
      </c>
      <c r="B242" t="s">
        <v>19</v>
      </c>
      <c r="C242" t="s">
        <v>11</v>
      </c>
      <c r="D242">
        <v>74</v>
      </c>
      <c r="F242" s="3">
        <v>44127</v>
      </c>
      <c r="G242" s="2" t="str">
        <f t="shared" si="9"/>
        <v>October</v>
      </c>
      <c r="H242" s="2" t="str">
        <f t="shared" si="10"/>
        <v>Week 4</v>
      </c>
      <c r="I242" s="2" t="str">
        <f t="shared" si="11"/>
        <v>Quarter 4</v>
      </c>
    </row>
    <row r="243" spans="1:9" x14ac:dyDescent="0.25">
      <c r="A243">
        <v>2000085584</v>
      </c>
      <c r="B243" t="s">
        <v>19</v>
      </c>
      <c r="C243" t="s">
        <v>12</v>
      </c>
      <c r="D243">
        <v>307.10000000000002</v>
      </c>
      <c r="F243" s="3">
        <v>44127</v>
      </c>
      <c r="G243" s="2" t="str">
        <f t="shared" si="9"/>
        <v>October</v>
      </c>
      <c r="H243" s="2" t="str">
        <f t="shared" si="10"/>
        <v>Week 4</v>
      </c>
      <c r="I243" s="2" t="str">
        <f t="shared" si="11"/>
        <v>Quarter 4</v>
      </c>
    </row>
    <row r="244" spans="1:9" x14ac:dyDescent="0.25">
      <c r="A244">
        <v>2000085725</v>
      </c>
      <c r="B244" t="s">
        <v>19</v>
      </c>
      <c r="C244" t="s">
        <v>9</v>
      </c>
      <c r="D244">
        <v>35.799999999999997</v>
      </c>
      <c r="F244" s="3">
        <v>44127</v>
      </c>
      <c r="G244" s="2" t="str">
        <f t="shared" si="9"/>
        <v>October</v>
      </c>
      <c r="H244" s="2" t="str">
        <f t="shared" si="10"/>
        <v>Week 4</v>
      </c>
      <c r="I244" s="2" t="str">
        <f t="shared" si="11"/>
        <v>Quarter 4</v>
      </c>
    </row>
    <row r="245" spans="1:9" x14ac:dyDescent="0.25">
      <c r="A245">
        <v>2000085672</v>
      </c>
      <c r="B245" t="s">
        <v>19</v>
      </c>
      <c r="C245" t="s">
        <v>11</v>
      </c>
      <c r="D245">
        <v>53.1</v>
      </c>
      <c r="F245" s="3">
        <v>44127</v>
      </c>
      <c r="G245" s="2" t="str">
        <f t="shared" si="9"/>
        <v>October</v>
      </c>
      <c r="H245" s="2" t="str">
        <f t="shared" si="10"/>
        <v>Week 4</v>
      </c>
      <c r="I245" s="2" t="str">
        <f t="shared" si="11"/>
        <v>Quarter 4</v>
      </c>
    </row>
    <row r="246" spans="1:9" x14ac:dyDescent="0.25">
      <c r="A246">
        <v>2000085537</v>
      </c>
      <c r="B246" t="s">
        <v>19</v>
      </c>
      <c r="C246" t="s">
        <v>12</v>
      </c>
      <c r="D246">
        <v>3028.4</v>
      </c>
      <c r="F246" s="3">
        <v>44127</v>
      </c>
      <c r="G246" s="2" t="str">
        <f t="shared" si="9"/>
        <v>October</v>
      </c>
      <c r="H246" s="2" t="str">
        <f t="shared" si="10"/>
        <v>Week 4</v>
      </c>
      <c r="I246" s="2" t="str">
        <f t="shared" si="11"/>
        <v>Quarter 4</v>
      </c>
    </row>
    <row r="247" spans="1:9" x14ac:dyDescent="0.25">
      <c r="A247">
        <v>2000085551</v>
      </c>
      <c r="B247" t="s">
        <v>19</v>
      </c>
      <c r="C247" t="s">
        <v>12</v>
      </c>
      <c r="D247">
        <v>920.5</v>
      </c>
      <c r="F247" s="3">
        <v>44127</v>
      </c>
      <c r="G247" s="2" t="str">
        <f t="shared" si="9"/>
        <v>October</v>
      </c>
      <c r="H247" s="2" t="str">
        <f t="shared" si="10"/>
        <v>Week 4</v>
      </c>
      <c r="I247" s="2" t="str">
        <f t="shared" si="11"/>
        <v>Quarter 4</v>
      </c>
    </row>
    <row r="248" spans="1:9" x14ac:dyDescent="0.25">
      <c r="A248">
        <v>2000085550</v>
      </c>
      <c r="B248" t="s">
        <v>19</v>
      </c>
      <c r="C248" t="s">
        <v>12</v>
      </c>
      <c r="D248">
        <v>1037.3499999999999</v>
      </c>
      <c r="F248" s="3">
        <v>44127</v>
      </c>
      <c r="G248" s="2" t="str">
        <f t="shared" si="9"/>
        <v>October</v>
      </c>
      <c r="H248" s="2" t="str">
        <f t="shared" si="10"/>
        <v>Week 4</v>
      </c>
      <c r="I248" s="2" t="str">
        <f t="shared" si="11"/>
        <v>Quarter 4</v>
      </c>
    </row>
    <row r="249" spans="1:9" x14ac:dyDescent="0.25">
      <c r="A249">
        <v>2000085689</v>
      </c>
      <c r="B249" t="s">
        <v>19</v>
      </c>
      <c r="C249" t="s">
        <v>11</v>
      </c>
      <c r="D249">
        <v>15.4</v>
      </c>
      <c r="F249" s="3">
        <v>44127</v>
      </c>
      <c r="G249" s="2" t="str">
        <f t="shared" si="9"/>
        <v>October</v>
      </c>
      <c r="H249" s="2" t="str">
        <f t="shared" si="10"/>
        <v>Week 4</v>
      </c>
      <c r="I249" s="2" t="str">
        <f t="shared" si="11"/>
        <v>Quarter 4</v>
      </c>
    </row>
    <row r="250" spans="1:9" x14ac:dyDescent="0.25">
      <c r="A250">
        <v>2000085565</v>
      </c>
      <c r="B250" t="s">
        <v>19</v>
      </c>
      <c r="C250" t="s">
        <v>12</v>
      </c>
      <c r="D250">
        <v>503.95</v>
      </c>
      <c r="F250" s="3">
        <v>44127</v>
      </c>
      <c r="G250" s="2" t="str">
        <f t="shared" si="9"/>
        <v>October</v>
      </c>
      <c r="H250" s="2" t="str">
        <f t="shared" si="10"/>
        <v>Week 4</v>
      </c>
      <c r="I250" s="2" t="str">
        <f t="shared" si="11"/>
        <v>Quarter 4</v>
      </c>
    </row>
    <row r="251" spans="1:9" x14ac:dyDescent="0.25">
      <c r="A251">
        <v>2000085611</v>
      </c>
      <c r="B251" t="s">
        <v>19</v>
      </c>
      <c r="C251" t="s">
        <v>13</v>
      </c>
      <c r="D251">
        <v>131.9</v>
      </c>
      <c r="F251" s="3">
        <v>44127</v>
      </c>
      <c r="G251" s="2" t="str">
        <f t="shared" si="9"/>
        <v>October</v>
      </c>
      <c r="H251" s="2" t="str">
        <f t="shared" si="10"/>
        <v>Week 4</v>
      </c>
      <c r="I251" s="2" t="str">
        <f t="shared" si="11"/>
        <v>Quarter 4</v>
      </c>
    </row>
    <row r="252" spans="1:9" x14ac:dyDescent="0.25">
      <c r="A252">
        <v>2000085611</v>
      </c>
      <c r="B252" t="s">
        <v>19</v>
      </c>
      <c r="C252" t="s">
        <v>13</v>
      </c>
      <c r="D252">
        <v>15.35</v>
      </c>
      <c r="F252" s="3">
        <v>44127</v>
      </c>
      <c r="G252" s="2" t="str">
        <f t="shared" si="9"/>
        <v>October</v>
      </c>
      <c r="H252" s="2" t="str">
        <f t="shared" si="10"/>
        <v>Week 4</v>
      </c>
      <c r="I252" s="2" t="str">
        <f t="shared" si="11"/>
        <v>Quarter 4</v>
      </c>
    </row>
    <row r="253" spans="1:9" x14ac:dyDescent="0.25">
      <c r="A253">
        <v>2000085611</v>
      </c>
      <c r="B253" t="s">
        <v>19</v>
      </c>
      <c r="C253" t="s">
        <v>13</v>
      </c>
      <c r="D253">
        <v>101.2</v>
      </c>
      <c r="F253" s="3">
        <v>44127</v>
      </c>
      <c r="G253" s="2" t="str">
        <f t="shared" si="9"/>
        <v>October</v>
      </c>
      <c r="H253" s="2" t="str">
        <f t="shared" si="10"/>
        <v>Week 4</v>
      </c>
      <c r="I253" s="2" t="str">
        <f t="shared" si="11"/>
        <v>Quarter 4</v>
      </c>
    </row>
    <row r="254" spans="1:9" x14ac:dyDescent="0.25">
      <c r="A254">
        <v>2000085629</v>
      </c>
      <c r="B254" t="s">
        <v>19</v>
      </c>
      <c r="C254" t="s">
        <v>13</v>
      </c>
      <c r="D254">
        <v>102.3</v>
      </c>
      <c r="F254" s="3">
        <v>44127</v>
      </c>
      <c r="G254" s="2" t="str">
        <f t="shared" si="9"/>
        <v>October</v>
      </c>
      <c r="H254" s="2" t="str">
        <f t="shared" si="10"/>
        <v>Week 4</v>
      </c>
      <c r="I254" s="2" t="str">
        <f t="shared" si="11"/>
        <v>Quarter 4</v>
      </c>
    </row>
    <row r="255" spans="1:9" x14ac:dyDescent="0.25">
      <c r="A255">
        <v>2000085625</v>
      </c>
      <c r="B255" t="s">
        <v>19</v>
      </c>
      <c r="C255" t="s">
        <v>13</v>
      </c>
      <c r="D255">
        <v>164.75</v>
      </c>
      <c r="F255" s="3">
        <v>44127</v>
      </c>
      <c r="G255" s="2" t="str">
        <f t="shared" si="9"/>
        <v>October</v>
      </c>
      <c r="H255" s="2" t="str">
        <f t="shared" si="10"/>
        <v>Week 4</v>
      </c>
      <c r="I255" s="2" t="str">
        <f t="shared" si="11"/>
        <v>Quarter 4</v>
      </c>
    </row>
    <row r="256" spans="1:9" x14ac:dyDescent="0.25">
      <c r="A256">
        <v>2000085620</v>
      </c>
      <c r="B256" t="s">
        <v>19</v>
      </c>
      <c r="C256" t="s">
        <v>13</v>
      </c>
      <c r="D256">
        <v>279.25</v>
      </c>
      <c r="F256" s="3">
        <v>44127</v>
      </c>
      <c r="G256" s="2" t="str">
        <f t="shared" si="9"/>
        <v>October</v>
      </c>
      <c r="H256" s="2" t="str">
        <f t="shared" si="10"/>
        <v>Week 4</v>
      </c>
      <c r="I256" s="2" t="str">
        <f t="shared" si="11"/>
        <v>Quarter 4</v>
      </c>
    </row>
    <row r="257" spans="1:9" x14ac:dyDescent="0.25">
      <c r="A257">
        <v>2000085630</v>
      </c>
      <c r="B257" t="s">
        <v>19</v>
      </c>
      <c r="C257" t="s">
        <v>13</v>
      </c>
      <c r="D257">
        <v>7.15</v>
      </c>
      <c r="F257" s="3">
        <v>44127</v>
      </c>
      <c r="G257" s="2" t="str">
        <f t="shared" si="9"/>
        <v>October</v>
      </c>
      <c r="H257" s="2" t="str">
        <f t="shared" si="10"/>
        <v>Week 4</v>
      </c>
      <c r="I257" s="2" t="str">
        <f t="shared" si="11"/>
        <v>Quarter 4</v>
      </c>
    </row>
    <row r="258" spans="1:9" x14ac:dyDescent="0.25">
      <c r="A258">
        <v>2000085631</v>
      </c>
      <c r="B258" t="s">
        <v>19</v>
      </c>
      <c r="C258" t="s">
        <v>13</v>
      </c>
      <c r="D258">
        <v>54.78</v>
      </c>
      <c r="F258" s="3">
        <v>44127</v>
      </c>
      <c r="G258" s="2" t="str">
        <f t="shared" si="9"/>
        <v>October</v>
      </c>
      <c r="H258" s="2" t="str">
        <f t="shared" si="10"/>
        <v>Week 4</v>
      </c>
      <c r="I258" s="2" t="str">
        <f t="shared" si="11"/>
        <v>Quarter 4</v>
      </c>
    </row>
    <row r="259" spans="1:9" x14ac:dyDescent="0.25">
      <c r="A259">
        <v>2000085632</v>
      </c>
      <c r="B259" t="s">
        <v>19</v>
      </c>
      <c r="C259" t="s">
        <v>13</v>
      </c>
      <c r="D259">
        <v>7.55</v>
      </c>
      <c r="F259" s="3">
        <v>44127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4</v>
      </c>
      <c r="I259" s="2" t="str">
        <f t="shared" ref="I259:I322" si="14">"Quarter " &amp; ROUNDUP((MONTH(F259))/3,0)</f>
        <v>Quarter 4</v>
      </c>
    </row>
    <row r="260" spans="1:9" x14ac:dyDescent="0.25">
      <c r="A260">
        <v>2000085579</v>
      </c>
      <c r="B260" t="s">
        <v>19</v>
      </c>
      <c r="C260" t="s">
        <v>12</v>
      </c>
      <c r="D260">
        <v>347.4</v>
      </c>
      <c r="F260" s="3">
        <v>44127</v>
      </c>
      <c r="G260" s="2" t="str">
        <f t="shared" si="12"/>
        <v>October</v>
      </c>
      <c r="H260" s="2" t="str">
        <f t="shared" si="13"/>
        <v>Week 4</v>
      </c>
      <c r="I260" s="2" t="str">
        <f t="shared" si="14"/>
        <v>Quarter 4</v>
      </c>
    </row>
    <row r="261" spans="1:9" x14ac:dyDescent="0.25">
      <c r="A261">
        <v>2000085542</v>
      </c>
      <c r="B261" t="s">
        <v>19</v>
      </c>
      <c r="C261" t="s">
        <v>12</v>
      </c>
      <c r="D261">
        <v>2380.5500000000002</v>
      </c>
      <c r="F261" s="3">
        <v>44127</v>
      </c>
      <c r="G261" s="2" t="str">
        <f t="shared" si="12"/>
        <v>October</v>
      </c>
      <c r="H261" s="2" t="str">
        <f t="shared" si="13"/>
        <v>Week 4</v>
      </c>
      <c r="I261" s="2" t="str">
        <f t="shared" si="14"/>
        <v>Quarter 4</v>
      </c>
    </row>
    <row r="262" spans="1:9" x14ac:dyDescent="0.25">
      <c r="A262">
        <v>2000085614</v>
      </c>
      <c r="B262" t="s">
        <v>19</v>
      </c>
      <c r="C262" t="s">
        <v>13</v>
      </c>
      <c r="D262">
        <v>120.25</v>
      </c>
      <c r="F262" s="3">
        <v>44127</v>
      </c>
      <c r="G262" s="2" t="str">
        <f t="shared" si="12"/>
        <v>October</v>
      </c>
      <c r="H262" s="2" t="str">
        <f t="shared" si="13"/>
        <v>Week 4</v>
      </c>
      <c r="I262" s="2" t="str">
        <f t="shared" si="14"/>
        <v>Quarter 4</v>
      </c>
    </row>
    <row r="263" spans="1:9" x14ac:dyDescent="0.25">
      <c r="A263">
        <v>2000085633</v>
      </c>
      <c r="B263" t="s">
        <v>19</v>
      </c>
      <c r="C263" t="s">
        <v>13</v>
      </c>
      <c r="D263">
        <v>25.55</v>
      </c>
      <c r="F263" s="3">
        <v>44127</v>
      </c>
      <c r="G263" s="2" t="str">
        <f t="shared" si="12"/>
        <v>October</v>
      </c>
      <c r="H263" s="2" t="str">
        <f t="shared" si="13"/>
        <v>Week 4</v>
      </c>
      <c r="I263" s="2" t="str">
        <f t="shared" si="14"/>
        <v>Quarter 4</v>
      </c>
    </row>
    <row r="264" spans="1:9" x14ac:dyDescent="0.25">
      <c r="A264">
        <v>2000085634</v>
      </c>
      <c r="B264" t="s">
        <v>19</v>
      </c>
      <c r="C264" t="s">
        <v>13</v>
      </c>
      <c r="D264">
        <v>32.1</v>
      </c>
      <c r="F264" s="3">
        <v>44127</v>
      </c>
      <c r="G264" s="2" t="str">
        <f t="shared" si="12"/>
        <v>October</v>
      </c>
      <c r="H264" s="2" t="str">
        <f t="shared" si="13"/>
        <v>Week 4</v>
      </c>
      <c r="I264" s="2" t="str">
        <f t="shared" si="14"/>
        <v>Quarter 4</v>
      </c>
    </row>
    <row r="265" spans="1:9" x14ac:dyDescent="0.25">
      <c r="A265">
        <v>2000085635</v>
      </c>
      <c r="B265" t="s">
        <v>19</v>
      </c>
      <c r="C265" t="s">
        <v>13</v>
      </c>
      <c r="D265">
        <v>23.44</v>
      </c>
      <c r="F265" s="3">
        <v>44127</v>
      </c>
      <c r="G265" s="2" t="str">
        <f t="shared" si="12"/>
        <v>October</v>
      </c>
      <c r="H265" s="2" t="str">
        <f t="shared" si="13"/>
        <v>Week 4</v>
      </c>
      <c r="I265" s="2" t="str">
        <f t="shared" si="14"/>
        <v>Quarter 4</v>
      </c>
    </row>
    <row r="266" spans="1:9" x14ac:dyDescent="0.25">
      <c r="A266">
        <v>2000085776</v>
      </c>
      <c r="B266" t="s">
        <v>19</v>
      </c>
      <c r="C266" t="s">
        <v>11</v>
      </c>
      <c r="D266">
        <v>80.849999999999994</v>
      </c>
      <c r="F266" s="3">
        <v>44127</v>
      </c>
      <c r="G266" s="2" t="str">
        <f t="shared" si="12"/>
        <v>October</v>
      </c>
      <c r="H266" s="2" t="str">
        <f t="shared" si="13"/>
        <v>Week 4</v>
      </c>
      <c r="I266" s="2" t="str">
        <f t="shared" si="14"/>
        <v>Quarter 4</v>
      </c>
    </row>
    <row r="267" spans="1:9" x14ac:dyDescent="0.25">
      <c r="A267">
        <v>2000085578</v>
      </c>
      <c r="B267" t="s">
        <v>19</v>
      </c>
      <c r="C267" t="s">
        <v>12</v>
      </c>
      <c r="D267">
        <v>370.9</v>
      </c>
      <c r="F267" s="3">
        <v>44127</v>
      </c>
      <c r="G267" s="2" t="str">
        <f t="shared" si="12"/>
        <v>October</v>
      </c>
      <c r="H267" s="2" t="str">
        <f t="shared" si="13"/>
        <v>Week 4</v>
      </c>
      <c r="I267" s="2" t="str">
        <f t="shared" si="14"/>
        <v>Quarter 4</v>
      </c>
    </row>
    <row r="268" spans="1:9" x14ac:dyDescent="0.25">
      <c r="A268">
        <v>2000085624</v>
      </c>
      <c r="B268" t="s">
        <v>19</v>
      </c>
      <c r="C268" t="s">
        <v>13</v>
      </c>
      <c r="D268">
        <v>167</v>
      </c>
      <c r="F268" s="3">
        <v>44127</v>
      </c>
      <c r="G268" s="2" t="str">
        <f t="shared" si="12"/>
        <v>October</v>
      </c>
      <c r="H268" s="2" t="str">
        <f t="shared" si="13"/>
        <v>Week 4</v>
      </c>
      <c r="I268" s="2" t="str">
        <f t="shared" si="14"/>
        <v>Quarter 4</v>
      </c>
    </row>
    <row r="269" spans="1:9" x14ac:dyDescent="0.25">
      <c r="A269">
        <v>2000085726</v>
      </c>
      <c r="B269" t="s">
        <v>19</v>
      </c>
      <c r="C269" t="s">
        <v>9</v>
      </c>
      <c r="D269">
        <v>11.15</v>
      </c>
      <c r="F269" s="3">
        <v>44127</v>
      </c>
      <c r="G269" s="2" t="str">
        <f t="shared" si="12"/>
        <v>October</v>
      </c>
      <c r="H269" s="2" t="str">
        <f t="shared" si="13"/>
        <v>Week 4</v>
      </c>
      <c r="I269" s="2" t="str">
        <f t="shared" si="14"/>
        <v>Quarter 4</v>
      </c>
    </row>
    <row r="270" spans="1:9" x14ac:dyDescent="0.25">
      <c r="A270">
        <v>2000085669</v>
      </c>
      <c r="B270" t="s">
        <v>19</v>
      </c>
      <c r="C270" t="s">
        <v>11</v>
      </c>
      <c r="D270">
        <v>31.25</v>
      </c>
      <c r="F270" s="3">
        <v>44127</v>
      </c>
      <c r="G270" s="2" t="str">
        <f t="shared" si="12"/>
        <v>October</v>
      </c>
      <c r="H270" s="2" t="str">
        <f t="shared" si="13"/>
        <v>Week 4</v>
      </c>
      <c r="I270" s="2" t="str">
        <f t="shared" si="14"/>
        <v>Quarter 4</v>
      </c>
    </row>
    <row r="271" spans="1:9" x14ac:dyDescent="0.25">
      <c r="A271">
        <v>2000085583</v>
      </c>
      <c r="B271" t="s">
        <v>19</v>
      </c>
      <c r="C271" t="s">
        <v>12</v>
      </c>
      <c r="D271">
        <v>307.75</v>
      </c>
      <c r="F271" s="3">
        <v>44127</v>
      </c>
      <c r="G271" s="2" t="str">
        <f t="shared" si="12"/>
        <v>October</v>
      </c>
      <c r="H271" s="2" t="str">
        <f t="shared" si="13"/>
        <v>Week 4</v>
      </c>
      <c r="I271" s="2" t="str">
        <f t="shared" si="14"/>
        <v>Quarter 4</v>
      </c>
    </row>
    <row r="272" spans="1:9" x14ac:dyDescent="0.25">
      <c r="A272">
        <v>2000085727</v>
      </c>
      <c r="B272" t="s">
        <v>19</v>
      </c>
      <c r="C272" t="s">
        <v>9</v>
      </c>
      <c r="D272">
        <v>45.85</v>
      </c>
      <c r="F272" s="3">
        <v>44127</v>
      </c>
      <c r="G272" s="2" t="str">
        <f t="shared" si="12"/>
        <v>October</v>
      </c>
      <c r="H272" s="2" t="str">
        <f t="shared" si="13"/>
        <v>Week 4</v>
      </c>
      <c r="I272" s="2" t="str">
        <f t="shared" si="14"/>
        <v>Quarter 4</v>
      </c>
    </row>
    <row r="273" spans="1:9" x14ac:dyDescent="0.25">
      <c r="A273">
        <v>2000085728</v>
      </c>
      <c r="B273" t="s">
        <v>19</v>
      </c>
      <c r="C273" t="s">
        <v>9</v>
      </c>
      <c r="D273">
        <v>17.7</v>
      </c>
      <c r="F273" s="3">
        <v>44127</v>
      </c>
      <c r="G273" s="2" t="str">
        <f t="shared" si="12"/>
        <v>October</v>
      </c>
      <c r="H273" s="2" t="str">
        <f t="shared" si="13"/>
        <v>Week 4</v>
      </c>
      <c r="I273" s="2" t="str">
        <f t="shared" si="14"/>
        <v>Quarter 4</v>
      </c>
    </row>
    <row r="274" spans="1:9" x14ac:dyDescent="0.25">
      <c r="A274">
        <v>2000085729</v>
      </c>
      <c r="B274" t="s">
        <v>19</v>
      </c>
      <c r="C274" t="s">
        <v>9</v>
      </c>
      <c r="D274">
        <v>7.55</v>
      </c>
      <c r="F274" s="3">
        <v>44127</v>
      </c>
      <c r="G274" s="2" t="str">
        <f t="shared" si="12"/>
        <v>October</v>
      </c>
      <c r="H274" s="2" t="str">
        <f t="shared" si="13"/>
        <v>Week 4</v>
      </c>
      <c r="I274" s="2" t="str">
        <f t="shared" si="14"/>
        <v>Quarter 4</v>
      </c>
    </row>
    <row r="275" spans="1:9" x14ac:dyDescent="0.25">
      <c r="A275">
        <v>2000085546</v>
      </c>
      <c r="B275" t="s">
        <v>19</v>
      </c>
      <c r="C275" t="s">
        <v>12</v>
      </c>
      <c r="D275">
        <v>1622.1</v>
      </c>
      <c r="F275" s="3">
        <v>44127</v>
      </c>
      <c r="G275" s="2" t="str">
        <f t="shared" si="12"/>
        <v>October</v>
      </c>
      <c r="H275" s="2" t="str">
        <f t="shared" si="13"/>
        <v>Week 4</v>
      </c>
      <c r="I275" s="2" t="str">
        <f t="shared" si="14"/>
        <v>Quarter 4</v>
      </c>
    </row>
    <row r="276" spans="1:9" x14ac:dyDescent="0.25">
      <c r="A276">
        <v>2000085707</v>
      </c>
      <c r="B276" t="s">
        <v>19</v>
      </c>
      <c r="C276" t="s">
        <v>11</v>
      </c>
      <c r="D276">
        <v>15.65</v>
      </c>
      <c r="F276" s="3">
        <v>44127</v>
      </c>
      <c r="G276" s="2" t="str">
        <f t="shared" si="12"/>
        <v>October</v>
      </c>
      <c r="H276" s="2" t="str">
        <f t="shared" si="13"/>
        <v>Week 4</v>
      </c>
      <c r="I276" s="2" t="str">
        <f t="shared" si="14"/>
        <v>Quarter 4</v>
      </c>
    </row>
    <row r="277" spans="1:9" x14ac:dyDescent="0.25">
      <c r="A277">
        <v>2000085730</v>
      </c>
      <c r="B277" t="s">
        <v>19</v>
      </c>
      <c r="C277" t="s">
        <v>9</v>
      </c>
      <c r="D277">
        <v>31.3</v>
      </c>
      <c r="F277" s="3">
        <v>44127</v>
      </c>
      <c r="G277" s="2" t="str">
        <f t="shared" si="12"/>
        <v>October</v>
      </c>
      <c r="H277" s="2" t="str">
        <f t="shared" si="13"/>
        <v>Week 4</v>
      </c>
      <c r="I277" s="2" t="str">
        <f t="shared" si="14"/>
        <v>Quarter 4</v>
      </c>
    </row>
    <row r="278" spans="1:9" x14ac:dyDescent="0.25">
      <c r="A278">
        <v>2000085731</v>
      </c>
      <c r="B278" t="s">
        <v>19</v>
      </c>
      <c r="C278" t="s">
        <v>9</v>
      </c>
      <c r="D278">
        <v>15.65</v>
      </c>
      <c r="F278" s="3">
        <v>44127</v>
      </c>
      <c r="G278" s="2" t="str">
        <f t="shared" si="12"/>
        <v>October</v>
      </c>
      <c r="H278" s="2" t="str">
        <f t="shared" si="13"/>
        <v>Week 4</v>
      </c>
      <c r="I278" s="2" t="str">
        <f t="shared" si="14"/>
        <v>Quarter 4</v>
      </c>
    </row>
    <row r="279" spans="1:9" x14ac:dyDescent="0.25">
      <c r="A279">
        <v>2000085673</v>
      </c>
      <c r="B279" t="s">
        <v>19</v>
      </c>
      <c r="C279" t="s">
        <v>11</v>
      </c>
      <c r="D279">
        <v>15.35</v>
      </c>
      <c r="F279" s="3">
        <v>44127</v>
      </c>
      <c r="G279" s="2" t="str">
        <f t="shared" si="12"/>
        <v>October</v>
      </c>
      <c r="H279" s="2" t="str">
        <f t="shared" si="13"/>
        <v>Week 4</v>
      </c>
      <c r="I279" s="2" t="str">
        <f t="shared" si="14"/>
        <v>Quarter 4</v>
      </c>
    </row>
    <row r="280" spans="1:9" x14ac:dyDescent="0.25">
      <c r="A280">
        <v>2000085566</v>
      </c>
      <c r="B280" t="s">
        <v>19</v>
      </c>
      <c r="C280" t="s">
        <v>12</v>
      </c>
      <c r="D280">
        <v>496.2</v>
      </c>
      <c r="F280" s="3">
        <v>44127</v>
      </c>
      <c r="G280" s="2" t="str">
        <f t="shared" si="12"/>
        <v>October</v>
      </c>
      <c r="H280" s="2" t="str">
        <f t="shared" si="13"/>
        <v>Week 4</v>
      </c>
      <c r="I280" s="2" t="str">
        <f t="shared" si="14"/>
        <v>Quarter 4</v>
      </c>
    </row>
    <row r="281" spans="1:9" x14ac:dyDescent="0.25">
      <c r="A281">
        <v>2000085732</v>
      </c>
      <c r="B281" t="s">
        <v>19</v>
      </c>
      <c r="C281" t="s">
        <v>9</v>
      </c>
      <c r="D281">
        <v>40.549999999999997</v>
      </c>
      <c r="F281" s="3">
        <v>44127</v>
      </c>
      <c r="G281" s="2" t="str">
        <f t="shared" si="12"/>
        <v>October</v>
      </c>
      <c r="H281" s="2" t="str">
        <f t="shared" si="13"/>
        <v>Week 4</v>
      </c>
      <c r="I281" s="2" t="str">
        <f t="shared" si="14"/>
        <v>Quarter 4</v>
      </c>
    </row>
    <row r="282" spans="1:9" x14ac:dyDescent="0.25">
      <c r="A282">
        <v>2000085595</v>
      </c>
      <c r="B282" t="s">
        <v>19</v>
      </c>
      <c r="C282" t="s">
        <v>12</v>
      </c>
      <c r="D282">
        <v>171.95</v>
      </c>
      <c r="F282" s="3">
        <v>44127</v>
      </c>
      <c r="G282" s="2" t="str">
        <f t="shared" si="12"/>
        <v>October</v>
      </c>
      <c r="H282" s="2" t="str">
        <f t="shared" si="13"/>
        <v>Week 4</v>
      </c>
      <c r="I282" s="2" t="str">
        <f t="shared" si="14"/>
        <v>Quarter 4</v>
      </c>
    </row>
    <row r="283" spans="1:9" x14ac:dyDescent="0.25">
      <c r="A283">
        <v>2000085648</v>
      </c>
      <c r="B283" t="s">
        <v>19</v>
      </c>
      <c r="C283" t="s">
        <v>14</v>
      </c>
      <c r="D283">
        <v>12.63</v>
      </c>
      <c r="F283" s="3">
        <v>44127</v>
      </c>
      <c r="G283" s="2" t="str">
        <f t="shared" si="12"/>
        <v>October</v>
      </c>
      <c r="H283" s="2" t="str">
        <f t="shared" si="13"/>
        <v>Week 4</v>
      </c>
      <c r="I283" s="2" t="str">
        <f t="shared" si="14"/>
        <v>Quarter 4</v>
      </c>
    </row>
    <row r="284" spans="1:9" x14ac:dyDescent="0.25">
      <c r="A284">
        <v>2000085667</v>
      </c>
      <c r="B284" t="s">
        <v>19</v>
      </c>
      <c r="C284" t="s">
        <v>11</v>
      </c>
      <c r="D284">
        <v>32.15</v>
      </c>
      <c r="F284" s="3">
        <v>44127</v>
      </c>
      <c r="G284" s="2" t="str">
        <f t="shared" si="12"/>
        <v>October</v>
      </c>
      <c r="H284" s="2" t="str">
        <f t="shared" si="13"/>
        <v>Week 4</v>
      </c>
      <c r="I284" s="2" t="str">
        <f t="shared" si="14"/>
        <v>Quarter 4</v>
      </c>
    </row>
    <row r="285" spans="1:9" x14ac:dyDescent="0.25">
      <c r="A285">
        <v>2000085616</v>
      </c>
      <c r="B285" t="s">
        <v>19</v>
      </c>
      <c r="C285" t="s">
        <v>13</v>
      </c>
      <c r="D285">
        <v>117.77</v>
      </c>
      <c r="F285" s="3">
        <v>44127</v>
      </c>
      <c r="G285" s="2" t="str">
        <f t="shared" si="12"/>
        <v>October</v>
      </c>
      <c r="H285" s="2" t="str">
        <f t="shared" si="13"/>
        <v>Week 4</v>
      </c>
      <c r="I285" s="2" t="str">
        <f t="shared" si="14"/>
        <v>Quarter 4</v>
      </c>
    </row>
    <row r="286" spans="1:9" x14ac:dyDescent="0.25">
      <c r="A286">
        <v>2000085586</v>
      </c>
      <c r="B286" t="s">
        <v>19</v>
      </c>
      <c r="C286" t="s">
        <v>12</v>
      </c>
      <c r="D286">
        <v>232.9</v>
      </c>
      <c r="F286" s="3">
        <v>44127</v>
      </c>
      <c r="G286" s="2" t="str">
        <f t="shared" si="12"/>
        <v>October</v>
      </c>
      <c r="H286" s="2" t="str">
        <f t="shared" si="13"/>
        <v>Week 4</v>
      </c>
      <c r="I286" s="2" t="str">
        <f t="shared" si="14"/>
        <v>Quarter 4</v>
      </c>
    </row>
    <row r="287" spans="1:9" x14ac:dyDescent="0.25">
      <c r="A287">
        <v>2000085554</v>
      </c>
      <c r="B287" t="s">
        <v>19</v>
      </c>
      <c r="C287" t="s">
        <v>12</v>
      </c>
      <c r="D287">
        <v>733.1</v>
      </c>
      <c r="F287" s="3">
        <v>44127</v>
      </c>
      <c r="G287" s="2" t="str">
        <f t="shared" si="12"/>
        <v>October</v>
      </c>
      <c r="H287" s="2" t="str">
        <f t="shared" si="13"/>
        <v>Week 4</v>
      </c>
      <c r="I287" s="2" t="str">
        <f t="shared" si="14"/>
        <v>Quarter 4</v>
      </c>
    </row>
    <row r="288" spans="1:9" x14ac:dyDescent="0.25">
      <c r="A288">
        <v>2000085609</v>
      </c>
      <c r="B288" t="s">
        <v>19</v>
      </c>
      <c r="C288" t="s">
        <v>13</v>
      </c>
      <c r="D288">
        <v>142.35</v>
      </c>
      <c r="F288" s="3">
        <v>44127</v>
      </c>
      <c r="G288" s="2" t="str">
        <f t="shared" si="12"/>
        <v>October</v>
      </c>
      <c r="H288" s="2" t="str">
        <f t="shared" si="13"/>
        <v>Week 4</v>
      </c>
      <c r="I288" s="2" t="str">
        <f t="shared" si="14"/>
        <v>Quarter 4</v>
      </c>
    </row>
    <row r="289" spans="1:9" x14ac:dyDescent="0.25">
      <c r="A289">
        <v>2000085733</v>
      </c>
      <c r="B289" t="s">
        <v>19</v>
      </c>
      <c r="C289" t="s">
        <v>9</v>
      </c>
      <c r="D289">
        <v>53.95</v>
      </c>
      <c r="F289" s="3">
        <v>44127</v>
      </c>
      <c r="G289" s="2" t="str">
        <f t="shared" si="12"/>
        <v>October</v>
      </c>
      <c r="H289" s="2" t="str">
        <f t="shared" si="13"/>
        <v>Week 4</v>
      </c>
      <c r="I289" s="2" t="str">
        <f t="shared" si="14"/>
        <v>Quarter 4</v>
      </c>
    </row>
    <row r="290" spans="1:9" x14ac:dyDescent="0.25">
      <c r="A290">
        <v>2000085734</v>
      </c>
      <c r="B290" t="s">
        <v>19</v>
      </c>
      <c r="C290" t="s">
        <v>9</v>
      </c>
      <c r="D290">
        <v>56.25</v>
      </c>
      <c r="F290" s="3">
        <v>44127</v>
      </c>
      <c r="G290" s="2" t="str">
        <f t="shared" si="12"/>
        <v>October</v>
      </c>
      <c r="H290" s="2" t="str">
        <f t="shared" si="13"/>
        <v>Week 4</v>
      </c>
      <c r="I290" s="2" t="str">
        <f t="shared" si="14"/>
        <v>Quarter 4</v>
      </c>
    </row>
    <row r="291" spans="1:9" x14ac:dyDescent="0.25">
      <c r="A291">
        <v>2000085735</v>
      </c>
      <c r="B291" t="s">
        <v>19</v>
      </c>
      <c r="C291" t="s">
        <v>9</v>
      </c>
      <c r="D291">
        <v>31.35</v>
      </c>
      <c r="F291" s="3">
        <v>44127</v>
      </c>
      <c r="G291" s="2" t="str">
        <f t="shared" si="12"/>
        <v>October</v>
      </c>
      <c r="H291" s="2" t="str">
        <f t="shared" si="13"/>
        <v>Week 4</v>
      </c>
      <c r="I291" s="2" t="str">
        <f t="shared" si="14"/>
        <v>Quarter 4</v>
      </c>
    </row>
    <row r="292" spans="1:9" x14ac:dyDescent="0.25">
      <c r="A292">
        <v>2000085612</v>
      </c>
      <c r="B292" t="s">
        <v>19</v>
      </c>
      <c r="C292" t="s">
        <v>13</v>
      </c>
      <c r="D292">
        <v>122.6</v>
      </c>
      <c r="F292" s="3">
        <v>44127</v>
      </c>
      <c r="G292" s="2" t="str">
        <f t="shared" si="12"/>
        <v>October</v>
      </c>
      <c r="H292" s="2" t="str">
        <f t="shared" si="13"/>
        <v>Week 4</v>
      </c>
      <c r="I292" s="2" t="str">
        <f t="shared" si="14"/>
        <v>Quarter 4</v>
      </c>
    </row>
    <row r="293" spans="1:9" x14ac:dyDescent="0.25">
      <c r="A293">
        <v>2000085564</v>
      </c>
      <c r="B293" t="s">
        <v>19</v>
      </c>
      <c r="C293" t="s">
        <v>12</v>
      </c>
      <c r="D293">
        <v>528.35</v>
      </c>
      <c r="F293" s="3">
        <v>44127</v>
      </c>
      <c r="G293" s="2" t="str">
        <f t="shared" si="12"/>
        <v>October</v>
      </c>
      <c r="H293" s="2" t="str">
        <f t="shared" si="13"/>
        <v>Week 4</v>
      </c>
      <c r="I293" s="2" t="str">
        <f t="shared" si="14"/>
        <v>Quarter 4</v>
      </c>
    </row>
    <row r="294" spans="1:9" x14ac:dyDescent="0.25">
      <c r="A294">
        <v>2000085621</v>
      </c>
      <c r="B294" t="s">
        <v>19</v>
      </c>
      <c r="C294" t="s">
        <v>13</v>
      </c>
      <c r="D294">
        <v>255.53</v>
      </c>
      <c r="F294" s="3">
        <v>44127</v>
      </c>
      <c r="G294" s="2" t="str">
        <f t="shared" si="12"/>
        <v>October</v>
      </c>
      <c r="H294" s="2" t="str">
        <f t="shared" si="13"/>
        <v>Week 4</v>
      </c>
      <c r="I294" s="2" t="str">
        <f t="shared" si="14"/>
        <v>Quarter 4</v>
      </c>
    </row>
    <row r="295" spans="1:9" x14ac:dyDescent="0.25">
      <c r="A295">
        <v>2000085736</v>
      </c>
      <c r="B295" t="s">
        <v>19</v>
      </c>
      <c r="C295" t="s">
        <v>9</v>
      </c>
      <c r="D295">
        <v>105.1</v>
      </c>
      <c r="F295" s="3">
        <v>44127</v>
      </c>
      <c r="G295" s="2" t="str">
        <f t="shared" si="12"/>
        <v>October</v>
      </c>
      <c r="H295" s="2" t="str">
        <f t="shared" si="13"/>
        <v>Week 4</v>
      </c>
      <c r="I295" s="2" t="str">
        <f t="shared" si="14"/>
        <v>Quarter 4</v>
      </c>
    </row>
    <row r="296" spans="1:9" x14ac:dyDescent="0.25">
      <c r="A296">
        <v>2000085553</v>
      </c>
      <c r="B296" t="s">
        <v>19</v>
      </c>
      <c r="C296" t="s">
        <v>12</v>
      </c>
      <c r="D296">
        <v>830.25</v>
      </c>
      <c r="F296" s="3">
        <v>44127</v>
      </c>
      <c r="G296" s="2" t="str">
        <f t="shared" si="12"/>
        <v>October</v>
      </c>
      <c r="H296" s="2" t="str">
        <f t="shared" si="13"/>
        <v>Week 4</v>
      </c>
      <c r="I296" s="2" t="str">
        <f t="shared" si="14"/>
        <v>Quarter 4</v>
      </c>
    </row>
    <row r="297" spans="1:9" x14ac:dyDescent="0.25">
      <c r="A297">
        <v>2000085534</v>
      </c>
      <c r="B297" t="s">
        <v>19</v>
      </c>
      <c r="C297" t="s">
        <v>12</v>
      </c>
      <c r="D297">
        <v>3150.6</v>
      </c>
      <c r="F297" s="3">
        <v>44127</v>
      </c>
      <c r="G297" s="2" t="str">
        <f t="shared" si="12"/>
        <v>October</v>
      </c>
      <c r="H297" s="2" t="str">
        <f t="shared" si="13"/>
        <v>Week 4</v>
      </c>
      <c r="I297" s="2" t="str">
        <f t="shared" si="14"/>
        <v>Quarter 4</v>
      </c>
    </row>
    <row r="298" spans="1:9" x14ac:dyDescent="0.25">
      <c r="A298">
        <v>2000085576</v>
      </c>
      <c r="B298" t="s">
        <v>19</v>
      </c>
      <c r="C298" t="s">
        <v>12</v>
      </c>
      <c r="D298">
        <v>395.35</v>
      </c>
      <c r="F298" s="3">
        <v>44127</v>
      </c>
      <c r="G298" s="2" t="str">
        <f t="shared" si="12"/>
        <v>October</v>
      </c>
      <c r="H298" s="2" t="str">
        <f t="shared" si="13"/>
        <v>Week 4</v>
      </c>
      <c r="I298" s="2" t="str">
        <f t="shared" si="14"/>
        <v>Quarter 4</v>
      </c>
    </row>
    <row r="299" spans="1:9" x14ac:dyDescent="0.25">
      <c r="A299">
        <v>2000085737</v>
      </c>
      <c r="B299" t="s">
        <v>19</v>
      </c>
      <c r="C299" t="s">
        <v>9</v>
      </c>
      <c r="D299">
        <v>11.85</v>
      </c>
      <c r="F299" s="3">
        <v>44127</v>
      </c>
      <c r="G299" s="2" t="str">
        <f t="shared" si="12"/>
        <v>October</v>
      </c>
      <c r="H299" s="2" t="str">
        <f t="shared" si="13"/>
        <v>Week 4</v>
      </c>
      <c r="I299" s="2" t="str">
        <f t="shared" si="14"/>
        <v>Quarter 4</v>
      </c>
    </row>
    <row r="300" spans="1:9" x14ac:dyDescent="0.25">
      <c r="A300">
        <v>2000085738</v>
      </c>
      <c r="B300" t="s">
        <v>19</v>
      </c>
      <c r="C300" t="s">
        <v>9</v>
      </c>
      <c r="D300">
        <v>7.7</v>
      </c>
      <c r="F300" s="3">
        <v>44127</v>
      </c>
      <c r="G300" s="2" t="str">
        <f t="shared" si="12"/>
        <v>October</v>
      </c>
      <c r="H300" s="2" t="str">
        <f t="shared" si="13"/>
        <v>Week 4</v>
      </c>
      <c r="I300" s="2" t="str">
        <f t="shared" si="14"/>
        <v>Quarter 4</v>
      </c>
    </row>
    <row r="301" spans="1:9" x14ac:dyDescent="0.25">
      <c r="A301">
        <v>2000085739</v>
      </c>
      <c r="B301" t="s">
        <v>19</v>
      </c>
      <c r="C301" t="s">
        <v>9</v>
      </c>
      <c r="D301">
        <v>15.1</v>
      </c>
      <c r="F301" s="3">
        <v>44127</v>
      </c>
      <c r="G301" s="2" t="str">
        <f t="shared" si="12"/>
        <v>October</v>
      </c>
      <c r="H301" s="2" t="str">
        <f t="shared" si="13"/>
        <v>Week 4</v>
      </c>
      <c r="I301" s="2" t="str">
        <f t="shared" si="14"/>
        <v>Quarter 4</v>
      </c>
    </row>
    <row r="302" spans="1:9" x14ac:dyDescent="0.25">
      <c r="A302">
        <v>2000085668</v>
      </c>
      <c r="B302" t="s">
        <v>19</v>
      </c>
      <c r="C302" t="s">
        <v>11</v>
      </c>
      <c r="D302">
        <v>13.4</v>
      </c>
      <c r="F302" s="3">
        <v>44127</v>
      </c>
      <c r="G302" s="2" t="str">
        <f t="shared" si="12"/>
        <v>October</v>
      </c>
      <c r="H302" s="2" t="str">
        <f t="shared" si="13"/>
        <v>Week 4</v>
      </c>
      <c r="I302" s="2" t="str">
        <f t="shared" si="14"/>
        <v>Quarter 4</v>
      </c>
    </row>
    <row r="303" spans="1:9" x14ac:dyDescent="0.25">
      <c r="A303">
        <v>2000085674</v>
      </c>
      <c r="B303" t="s">
        <v>19</v>
      </c>
      <c r="C303" t="s">
        <v>11</v>
      </c>
      <c r="D303">
        <v>20.9</v>
      </c>
      <c r="F303" s="3">
        <v>44127</v>
      </c>
      <c r="G303" s="2" t="str">
        <f t="shared" si="12"/>
        <v>October</v>
      </c>
      <c r="H303" s="2" t="str">
        <f t="shared" si="13"/>
        <v>Week 4</v>
      </c>
      <c r="I303" s="2" t="str">
        <f t="shared" si="14"/>
        <v>Quarter 4</v>
      </c>
    </row>
    <row r="304" spans="1:9" x14ac:dyDescent="0.25">
      <c r="A304">
        <v>2000085740</v>
      </c>
      <c r="B304" t="s">
        <v>19</v>
      </c>
      <c r="C304" t="s">
        <v>9</v>
      </c>
      <c r="D304">
        <v>88.75</v>
      </c>
      <c r="F304" s="3">
        <v>44127</v>
      </c>
      <c r="G304" s="2" t="str">
        <f t="shared" si="12"/>
        <v>October</v>
      </c>
      <c r="H304" s="2" t="str">
        <f t="shared" si="13"/>
        <v>Week 4</v>
      </c>
      <c r="I304" s="2" t="str">
        <f t="shared" si="14"/>
        <v>Quarter 4</v>
      </c>
    </row>
    <row r="305" spans="1:9" x14ac:dyDescent="0.25">
      <c r="A305">
        <v>2000085741</v>
      </c>
      <c r="B305" t="s">
        <v>19</v>
      </c>
      <c r="C305" t="s">
        <v>9</v>
      </c>
      <c r="D305">
        <v>73.650000000000006</v>
      </c>
      <c r="F305" s="3">
        <v>44127</v>
      </c>
      <c r="G305" s="2" t="str">
        <f t="shared" si="12"/>
        <v>October</v>
      </c>
      <c r="H305" s="2" t="str">
        <f t="shared" si="13"/>
        <v>Week 4</v>
      </c>
      <c r="I305" s="2" t="str">
        <f t="shared" si="14"/>
        <v>Quarter 4</v>
      </c>
    </row>
    <row r="306" spans="1:9" x14ac:dyDescent="0.25">
      <c r="A306">
        <v>2000085742</v>
      </c>
      <c r="B306" t="s">
        <v>19</v>
      </c>
      <c r="C306" t="s">
        <v>9</v>
      </c>
      <c r="D306">
        <v>74.45</v>
      </c>
      <c r="F306" s="3">
        <v>44127</v>
      </c>
      <c r="G306" s="2" t="str">
        <f t="shared" si="12"/>
        <v>October</v>
      </c>
      <c r="H306" s="2" t="str">
        <f t="shared" si="13"/>
        <v>Week 4</v>
      </c>
      <c r="I306" s="2" t="str">
        <f t="shared" si="14"/>
        <v>Quarter 4</v>
      </c>
    </row>
    <row r="307" spans="1:9" x14ac:dyDescent="0.25">
      <c r="A307">
        <v>2000085613</v>
      </c>
      <c r="B307" t="s">
        <v>19</v>
      </c>
      <c r="C307" t="s">
        <v>13</v>
      </c>
      <c r="D307">
        <v>122.05</v>
      </c>
      <c r="F307" s="3">
        <v>44127</v>
      </c>
      <c r="G307" s="2" t="str">
        <f t="shared" si="12"/>
        <v>October</v>
      </c>
      <c r="H307" s="2" t="str">
        <f t="shared" si="13"/>
        <v>Week 4</v>
      </c>
      <c r="I307" s="2" t="str">
        <f t="shared" si="14"/>
        <v>Quarter 4</v>
      </c>
    </row>
    <row r="308" spans="1:9" x14ac:dyDescent="0.25">
      <c r="A308">
        <v>2000085543</v>
      </c>
      <c r="B308" t="s">
        <v>19</v>
      </c>
      <c r="C308" t="s">
        <v>12</v>
      </c>
      <c r="D308">
        <v>2347.85</v>
      </c>
      <c r="F308" s="3">
        <v>44127</v>
      </c>
      <c r="G308" s="2" t="str">
        <f t="shared" si="12"/>
        <v>October</v>
      </c>
      <c r="H308" s="2" t="str">
        <f t="shared" si="13"/>
        <v>Week 4</v>
      </c>
      <c r="I308" s="2" t="str">
        <f t="shared" si="14"/>
        <v>Quarter 4</v>
      </c>
    </row>
    <row r="309" spans="1:9" x14ac:dyDescent="0.25">
      <c r="A309">
        <v>2000085745</v>
      </c>
      <c r="B309" t="s">
        <v>19</v>
      </c>
      <c r="C309" t="s">
        <v>9</v>
      </c>
      <c r="D309">
        <v>1894.25</v>
      </c>
      <c r="F309" s="3">
        <v>44127</v>
      </c>
      <c r="G309" s="2" t="str">
        <f t="shared" si="12"/>
        <v>October</v>
      </c>
      <c r="H309" s="2" t="str">
        <f t="shared" si="13"/>
        <v>Week 4</v>
      </c>
      <c r="I309" s="2" t="str">
        <f t="shared" si="14"/>
        <v>Quarter 4</v>
      </c>
    </row>
    <row r="310" spans="1:9" x14ac:dyDescent="0.25">
      <c r="A310">
        <v>2000085746</v>
      </c>
      <c r="B310" t="s">
        <v>19</v>
      </c>
      <c r="C310" t="s">
        <v>9</v>
      </c>
      <c r="D310">
        <v>7.55</v>
      </c>
      <c r="F310" s="3">
        <v>44127</v>
      </c>
      <c r="G310" s="2" t="str">
        <f t="shared" si="12"/>
        <v>October</v>
      </c>
      <c r="H310" s="2" t="str">
        <f t="shared" si="13"/>
        <v>Week 4</v>
      </c>
      <c r="I310" s="2" t="str">
        <f t="shared" si="14"/>
        <v>Quarter 4</v>
      </c>
    </row>
    <row r="311" spans="1:9" x14ac:dyDescent="0.25">
      <c r="A311">
        <v>2000085533</v>
      </c>
      <c r="B311" t="s">
        <v>19</v>
      </c>
      <c r="C311" t="s">
        <v>12</v>
      </c>
      <c r="D311">
        <v>7538.35</v>
      </c>
      <c r="F311" s="3">
        <v>44127</v>
      </c>
      <c r="G311" s="2" t="str">
        <f t="shared" si="12"/>
        <v>October</v>
      </c>
      <c r="H311" s="2" t="str">
        <f t="shared" si="13"/>
        <v>Week 4</v>
      </c>
      <c r="I311" s="2" t="str">
        <f t="shared" si="14"/>
        <v>Quarter 4</v>
      </c>
    </row>
    <row r="312" spans="1:9" x14ac:dyDescent="0.25">
      <c r="A312">
        <v>2000085747</v>
      </c>
      <c r="B312" t="s">
        <v>19</v>
      </c>
      <c r="C312" t="s">
        <v>9</v>
      </c>
      <c r="D312">
        <v>16.850000000000001</v>
      </c>
      <c r="F312" s="3">
        <v>44127</v>
      </c>
      <c r="G312" s="2" t="str">
        <f t="shared" si="12"/>
        <v>October</v>
      </c>
      <c r="H312" s="2" t="str">
        <f t="shared" si="13"/>
        <v>Week 4</v>
      </c>
      <c r="I312" s="2" t="str">
        <f t="shared" si="14"/>
        <v>Quarter 4</v>
      </c>
    </row>
    <row r="313" spans="1:9" x14ac:dyDescent="0.25">
      <c r="A313">
        <v>2000085608</v>
      </c>
      <c r="B313" t="s">
        <v>19</v>
      </c>
      <c r="C313" t="s">
        <v>13</v>
      </c>
      <c r="D313">
        <v>142.85</v>
      </c>
      <c r="F313" s="3">
        <v>44127</v>
      </c>
      <c r="G313" s="2" t="str">
        <f t="shared" si="12"/>
        <v>October</v>
      </c>
      <c r="H313" s="2" t="str">
        <f t="shared" si="13"/>
        <v>Week 4</v>
      </c>
      <c r="I313" s="2" t="str">
        <f t="shared" si="14"/>
        <v>Quarter 4</v>
      </c>
    </row>
    <row r="314" spans="1:9" x14ac:dyDescent="0.25">
      <c r="A314">
        <v>2000085541</v>
      </c>
      <c r="B314" t="s">
        <v>19</v>
      </c>
      <c r="C314" t="s">
        <v>12</v>
      </c>
      <c r="D314">
        <v>2510.65</v>
      </c>
      <c r="F314" s="3">
        <v>44127</v>
      </c>
      <c r="G314" s="2" t="str">
        <f t="shared" si="12"/>
        <v>October</v>
      </c>
      <c r="H314" s="2" t="str">
        <f t="shared" si="13"/>
        <v>Week 4</v>
      </c>
      <c r="I314" s="2" t="str">
        <f t="shared" si="14"/>
        <v>Quarter 4</v>
      </c>
    </row>
    <row r="315" spans="1:9" x14ac:dyDescent="0.25">
      <c r="A315">
        <v>2000085748</v>
      </c>
      <c r="B315" t="s">
        <v>19</v>
      </c>
      <c r="C315" t="s">
        <v>9</v>
      </c>
      <c r="D315">
        <v>23.35</v>
      </c>
      <c r="F315" s="3">
        <v>44127</v>
      </c>
      <c r="G315" s="2" t="str">
        <f t="shared" si="12"/>
        <v>October</v>
      </c>
      <c r="H315" s="2" t="str">
        <f t="shared" si="13"/>
        <v>Week 4</v>
      </c>
      <c r="I315" s="2" t="str">
        <f t="shared" si="14"/>
        <v>Quarter 4</v>
      </c>
    </row>
    <row r="316" spans="1:9" x14ac:dyDescent="0.25">
      <c r="A316">
        <v>2000085749</v>
      </c>
      <c r="B316" t="s">
        <v>19</v>
      </c>
      <c r="C316" t="s">
        <v>9</v>
      </c>
      <c r="D316">
        <v>7.8</v>
      </c>
      <c r="F316" s="3">
        <v>44127</v>
      </c>
      <c r="G316" s="2" t="str">
        <f t="shared" si="12"/>
        <v>October</v>
      </c>
      <c r="H316" s="2" t="str">
        <f t="shared" si="13"/>
        <v>Week 4</v>
      </c>
      <c r="I316" s="2" t="str">
        <f t="shared" si="14"/>
        <v>Quarter 4</v>
      </c>
    </row>
    <row r="317" spans="1:9" x14ac:dyDescent="0.25">
      <c r="A317">
        <v>2000085769</v>
      </c>
      <c r="B317" t="s">
        <v>19</v>
      </c>
      <c r="C317" t="s">
        <v>11</v>
      </c>
      <c r="D317">
        <v>53.8</v>
      </c>
      <c r="F317" s="3">
        <v>44127</v>
      </c>
      <c r="G317" s="2" t="str">
        <f t="shared" si="12"/>
        <v>October</v>
      </c>
      <c r="H317" s="2" t="str">
        <f t="shared" si="13"/>
        <v>Week 4</v>
      </c>
      <c r="I317" s="2" t="str">
        <f t="shared" si="14"/>
        <v>Quarter 4</v>
      </c>
    </row>
    <row r="318" spans="1:9" x14ac:dyDescent="0.25">
      <c r="A318">
        <v>2000085690</v>
      </c>
      <c r="B318" t="s">
        <v>19</v>
      </c>
      <c r="C318" t="s">
        <v>14</v>
      </c>
      <c r="D318">
        <v>20.8</v>
      </c>
      <c r="F318" s="3">
        <v>44127</v>
      </c>
      <c r="G318" s="2" t="str">
        <f t="shared" si="12"/>
        <v>October</v>
      </c>
      <c r="H318" s="2" t="str">
        <f t="shared" si="13"/>
        <v>Week 4</v>
      </c>
      <c r="I318" s="2" t="str">
        <f t="shared" si="14"/>
        <v>Quarter 4</v>
      </c>
    </row>
    <row r="319" spans="1:9" x14ac:dyDescent="0.25">
      <c r="A319">
        <v>2000085675</v>
      </c>
      <c r="B319" t="s">
        <v>19</v>
      </c>
      <c r="C319" t="s">
        <v>11</v>
      </c>
      <c r="D319">
        <v>6.3</v>
      </c>
      <c r="F319" s="3">
        <v>44127</v>
      </c>
      <c r="G319" s="2" t="str">
        <f t="shared" si="12"/>
        <v>October</v>
      </c>
      <c r="H319" s="2" t="str">
        <f t="shared" si="13"/>
        <v>Week 4</v>
      </c>
      <c r="I319" s="2" t="str">
        <f t="shared" si="14"/>
        <v>Quarter 4</v>
      </c>
    </row>
    <row r="320" spans="1:9" x14ac:dyDescent="0.25">
      <c r="A320">
        <v>2000085662</v>
      </c>
      <c r="B320" t="s">
        <v>19</v>
      </c>
      <c r="C320" t="s">
        <v>20</v>
      </c>
      <c r="D320">
        <v>81.150000000000006</v>
      </c>
      <c r="F320" s="3">
        <v>44127</v>
      </c>
      <c r="G320" s="2" t="str">
        <f t="shared" si="12"/>
        <v>October</v>
      </c>
      <c r="H320" s="2" t="str">
        <f t="shared" si="13"/>
        <v>Week 4</v>
      </c>
      <c r="I320" s="2" t="str">
        <f t="shared" si="14"/>
        <v>Quarter 4</v>
      </c>
    </row>
    <row r="321" spans="1:9" x14ac:dyDescent="0.25">
      <c r="A321">
        <v>2000085750</v>
      </c>
      <c r="B321" t="s">
        <v>19</v>
      </c>
      <c r="C321" t="s">
        <v>9</v>
      </c>
      <c r="D321">
        <v>39.1</v>
      </c>
      <c r="F321" s="3">
        <v>44127</v>
      </c>
      <c r="G321" s="2" t="str">
        <f t="shared" si="12"/>
        <v>October</v>
      </c>
      <c r="H321" s="2" t="str">
        <f t="shared" si="13"/>
        <v>Week 4</v>
      </c>
      <c r="I321" s="2" t="str">
        <f t="shared" si="14"/>
        <v>Quarter 4</v>
      </c>
    </row>
    <row r="322" spans="1:9" x14ac:dyDescent="0.25">
      <c r="A322">
        <v>2000085751</v>
      </c>
      <c r="B322" t="s">
        <v>19</v>
      </c>
      <c r="C322" t="s">
        <v>9</v>
      </c>
      <c r="D322">
        <v>33.799999999999997</v>
      </c>
      <c r="F322" s="3">
        <v>44127</v>
      </c>
      <c r="G322" s="2" t="str">
        <f t="shared" si="12"/>
        <v>October</v>
      </c>
      <c r="H322" s="2" t="str">
        <f t="shared" si="13"/>
        <v>Week 4</v>
      </c>
      <c r="I322" s="2" t="str">
        <f t="shared" si="14"/>
        <v>Quarter 4</v>
      </c>
    </row>
    <row r="323" spans="1:9" x14ac:dyDescent="0.25">
      <c r="A323">
        <v>2000085622</v>
      </c>
      <c r="B323" t="s">
        <v>19</v>
      </c>
      <c r="C323" t="s">
        <v>13</v>
      </c>
      <c r="D323">
        <v>220.35</v>
      </c>
      <c r="F323" s="3">
        <v>44127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4</v>
      </c>
      <c r="I323" s="2" t="str">
        <f t="shared" ref="I323:I386" si="17">"Quarter " &amp; ROUNDUP((MONTH(F323))/3,0)</f>
        <v>Quarter 4</v>
      </c>
    </row>
    <row r="324" spans="1:9" x14ac:dyDescent="0.25">
      <c r="A324">
        <v>2000085575</v>
      </c>
      <c r="B324" t="s">
        <v>19</v>
      </c>
      <c r="C324" t="s">
        <v>12</v>
      </c>
      <c r="D324">
        <v>410.65</v>
      </c>
      <c r="F324" s="3">
        <v>44127</v>
      </c>
      <c r="G324" s="2" t="str">
        <f t="shared" si="15"/>
        <v>October</v>
      </c>
      <c r="H324" s="2" t="str">
        <f t="shared" si="16"/>
        <v>Week 4</v>
      </c>
      <c r="I324" s="2" t="str">
        <f t="shared" si="17"/>
        <v>Quarter 4</v>
      </c>
    </row>
    <row r="325" spans="1:9" x14ac:dyDescent="0.25">
      <c r="A325">
        <v>2000085600</v>
      </c>
      <c r="B325" t="s">
        <v>19</v>
      </c>
      <c r="C325" t="s">
        <v>13</v>
      </c>
      <c r="D325">
        <v>416.9</v>
      </c>
      <c r="F325" s="3">
        <v>44127</v>
      </c>
      <c r="G325" s="2" t="str">
        <f t="shared" si="15"/>
        <v>October</v>
      </c>
      <c r="H325" s="2" t="str">
        <f t="shared" si="16"/>
        <v>Week 4</v>
      </c>
      <c r="I325" s="2" t="str">
        <f t="shared" si="17"/>
        <v>Quarter 4</v>
      </c>
    </row>
    <row r="326" spans="1:9" x14ac:dyDescent="0.25">
      <c r="A326">
        <v>2000085655</v>
      </c>
      <c r="B326" t="s">
        <v>19</v>
      </c>
      <c r="C326" t="s">
        <v>20</v>
      </c>
      <c r="D326">
        <v>75.55</v>
      </c>
      <c r="F326" s="3">
        <v>44127</v>
      </c>
      <c r="G326" s="2" t="str">
        <f t="shared" si="15"/>
        <v>October</v>
      </c>
      <c r="H326" s="2" t="str">
        <f t="shared" si="16"/>
        <v>Week 4</v>
      </c>
      <c r="I326" s="2" t="str">
        <f t="shared" si="17"/>
        <v>Quarter 4</v>
      </c>
    </row>
    <row r="327" spans="1:9" x14ac:dyDescent="0.25">
      <c r="A327">
        <v>2000085569</v>
      </c>
      <c r="B327" t="s">
        <v>19</v>
      </c>
      <c r="C327" t="s">
        <v>12</v>
      </c>
      <c r="D327">
        <v>476.35</v>
      </c>
      <c r="F327" s="3">
        <v>44127</v>
      </c>
      <c r="G327" s="2" t="str">
        <f t="shared" si="15"/>
        <v>October</v>
      </c>
      <c r="H327" s="2" t="str">
        <f t="shared" si="16"/>
        <v>Week 4</v>
      </c>
      <c r="I327" s="2" t="str">
        <f t="shared" si="17"/>
        <v>Quarter 4</v>
      </c>
    </row>
    <row r="328" spans="1:9" x14ac:dyDescent="0.25">
      <c r="A328">
        <v>2000085752</v>
      </c>
      <c r="B328" t="s">
        <v>19</v>
      </c>
      <c r="C328" t="s">
        <v>9</v>
      </c>
      <c r="D328">
        <v>15.65</v>
      </c>
      <c r="F328" s="3">
        <v>44127</v>
      </c>
      <c r="G328" s="2" t="str">
        <f t="shared" si="15"/>
        <v>October</v>
      </c>
      <c r="H328" s="2" t="str">
        <f t="shared" si="16"/>
        <v>Week 4</v>
      </c>
      <c r="I328" s="2" t="str">
        <f t="shared" si="17"/>
        <v>Quarter 4</v>
      </c>
    </row>
    <row r="329" spans="1:9" x14ac:dyDescent="0.25">
      <c r="A329">
        <v>2000085619</v>
      </c>
      <c r="B329" t="s">
        <v>19</v>
      </c>
      <c r="C329" t="s">
        <v>13</v>
      </c>
      <c r="D329">
        <v>280.7</v>
      </c>
      <c r="F329" s="3">
        <v>44127</v>
      </c>
      <c r="G329" s="2" t="str">
        <f t="shared" si="15"/>
        <v>October</v>
      </c>
      <c r="H329" s="2" t="str">
        <f t="shared" si="16"/>
        <v>Week 4</v>
      </c>
      <c r="I329" s="2" t="str">
        <f t="shared" si="17"/>
        <v>Quarter 4</v>
      </c>
    </row>
    <row r="330" spans="1:9" x14ac:dyDescent="0.25">
      <c r="A330">
        <v>2000085676</v>
      </c>
      <c r="B330" t="s">
        <v>19</v>
      </c>
      <c r="C330" t="s">
        <v>11</v>
      </c>
      <c r="D330">
        <v>74.150000000000006</v>
      </c>
      <c r="F330" s="3">
        <v>44127</v>
      </c>
      <c r="G330" s="2" t="str">
        <f t="shared" si="15"/>
        <v>October</v>
      </c>
      <c r="H330" s="2" t="str">
        <f t="shared" si="16"/>
        <v>Week 4</v>
      </c>
      <c r="I330" s="2" t="str">
        <f t="shared" si="17"/>
        <v>Quarter 4</v>
      </c>
    </row>
    <row r="331" spans="1:9" x14ac:dyDescent="0.25">
      <c r="A331">
        <v>2000085753</v>
      </c>
      <c r="B331" t="s">
        <v>19</v>
      </c>
      <c r="C331" t="s">
        <v>9</v>
      </c>
      <c r="D331">
        <v>7.8</v>
      </c>
      <c r="F331" s="3">
        <v>44127</v>
      </c>
      <c r="G331" s="2" t="str">
        <f t="shared" si="15"/>
        <v>October</v>
      </c>
      <c r="H331" s="2" t="str">
        <f t="shared" si="16"/>
        <v>Week 4</v>
      </c>
      <c r="I331" s="2" t="str">
        <f t="shared" si="17"/>
        <v>Quarter 4</v>
      </c>
    </row>
    <row r="332" spans="1:9" x14ac:dyDescent="0.25">
      <c r="A332">
        <v>2000085591</v>
      </c>
      <c r="B332" t="s">
        <v>19</v>
      </c>
      <c r="C332" t="s">
        <v>12</v>
      </c>
      <c r="D332">
        <v>189.15</v>
      </c>
      <c r="F332" s="3">
        <v>44127</v>
      </c>
      <c r="G332" s="2" t="str">
        <f t="shared" si="15"/>
        <v>October</v>
      </c>
      <c r="H332" s="2" t="str">
        <f t="shared" si="16"/>
        <v>Week 4</v>
      </c>
      <c r="I332" s="2" t="str">
        <f t="shared" si="17"/>
        <v>Quarter 4</v>
      </c>
    </row>
    <row r="333" spans="1:9" x14ac:dyDescent="0.25">
      <c r="A333">
        <v>2000085587</v>
      </c>
      <c r="B333" t="s">
        <v>19</v>
      </c>
      <c r="C333" t="s">
        <v>12</v>
      </c>
      <c r="D333">
        <v>222.4</v>
      </c>
      <c r="F333" s="3">
        <v>44127</v>
      </c>
      <c r="G333" s="2" t="str">
        <f t="shared" si="15"/>
        <v>October</v>
      </c>
      <c r="H333" s="2" t="str">
        <f t="shared" si="16"/>
        <v>Week 4</v>
      </c>
      <c r="I333" s="2" t="str">
        <f t="shared" si="17"/>
        <v>Quarter 4</v>
      </c>
    </row>
    <row r="334" spans="1:9" x14ac:dyDescent="0.25">
      <c r="A334">
        <v>2000085545</v>
      </c>
      <c r="B334" t="s">
        <v>19</v>
      </c>
      <c r="C334" t="s">
        <v>12</v>
      </c>
      <c r="D334">
        <v>1739.2</v>
      </c>
      <c r="F334" s="3">
        <v>44127</v>
      </c>
      <c r="G334" s="2" t="str">
        <f t="shared" si="15"/>
        <v>October</v>
      </c>
      <c r="H334" s="2" t="str">
        <f t="shared" si="16"/>
        <v>Week 4</v>
      </c>
      <c r="I334" s="2" t="str">
        <f t="shared" si="17"/>
        <v>Quarter 4</v>
      </c>
    </row>
    <row r="335" spans="1:9" x14ac:dyDescent="0.25">
      <c r="A335">
        <v>2000085677</v>
      </c>
      <c r="B335" t="s">
        <v>19</v>
      </c>
      <c r="C335" t="s">
        <v>11</v>
      </c>
      <c r="D335">
        <v>15.35</v>
      </c>
      <c r="F335" s="3">
        <v>44127</v>
      </c>
      <c r="G335" s="2" t="str">
        <f t="shared" si="15"/>
        <v>October</v>
      </c>
      <c r="H335" s="2" t="str">
        <f t="shared" si="16"/>
        <v>Week 4</v>
      </c>
      <c r="I335" s="2" t="str">
        <f t="shared" si="17"/>
        <v>Quarter 4</v>
      </c>
    </row>
    <row r="336" spans="1:9" x14ac:dyDescent="0.25">
      <c r="A336">
        <v>2000085547</v>
      </c>
      <c r="B336" t="s">
        <v>19</v>
      </c>
      <c r="C336" t="s">
        <v>12</v>
      </c>
      <c r="D336">
        <v>1482.4</v>
      </c>
      <c r="F336" s="3">
        <v>44127</v>
      </c>
      <c r="G336" s="2" t="str">
        <f t="shared" si="15"/>
        <v>October</v>
      </c>
      <c r="H336" s="2" t="str">
        <f t="shared" si="16"/>
        <v>Week 4</v>
      </c>
      <c r="I336" s="2" t="str">
        <f t="shared" si="17"/>
        <v>Quarter 4</v>
      </c>
    </row>
    <row r="337" spans="1:9" x14ac:dyDescent="0.25">
      <c r="A337">
        <v>2000085670</v>
      </c>
      <c r="B337" t="s">
        <v>19</v>
      </c>
      <c r="C337" t="s">
        <v>11</v>
      </c>
      <c r="D337">
        <v>20.05</v>
      </c>
      <c r="F337" s="3">
        <v>44127</v>
      </c>
      <c r="G337" s="2" t="str">
        <f t="shared" si="15"/>
        <v>October</v>
      </c>
      <c r="H337" s="2" t="str">
        <f t="shared" si="16"/>
        <v>Week 4</v>
      </c>
      <c r="I337" s="2" t="str">
        <f t="shared" si="17"/>
        <v>Quarter 4</v>
      </c>
    </row>
    <row r="338" spans="1:9" x14ac:dyDescent="0.25">
      <c r="A338">
        <v>2000085599</v>
      </c>
      <c r="B338" t="s">
        <v>19</v>
      </c>
      <c r="C338" t="s">
        <v>14</v>
      </c>
      <c r="D338">
        <v>38.700000000000003</v>
      </c>
      <c r="F338" s="3">
        <v>44127</v>
      </c>
      <c r="G338" s="2" t="str">
        <f t="shared" si="15"/>
        <v>October</v>
      </c>
      <c r="H338" s="2" t="str">
        <f t="shared" si="16"/>
        <v>Week 4</v>
      </c>
      <c r="I338" s="2" t="str">
        <f t="shared" si="17"/>
        <v>Quarter 4</v>
      </c>
    </row>
    <row r="339" spans="1:9" x14ac:dyDescent="0.25">
      <c r="A339">
        <v>2000085567</v>
      </c>
      <c r="B339" t="s">
        <v>19</v>
      </c>
      <c r="C339" t="s">
        <v>12</v>
      </c>
      <c r="D339">
        <v>487.7</v>
      </c>
      <c r="F339" s="3">
        <v>44127</v>
      </c>
      <c r="G339" s="2" t="str">
        <f t="shared" si="15"/>
        <v>October</v>
      </c>
      <c r="H339" s="2" t="str">
        <f t="shared" si="16"/>
        <v>Week 4</v>
      </c>
      <c r="I339" s="2" t="str">
        <f t="shared" si="17"/>
        <v>Quarter 4</v>
      </c>
    </row>
    <row r="340" spans="1:9" x14ac:dyDescent="0.25">
      <c r="A340">
        <v>2000085562</v>
      </c>
      <c r="B340" t="s">
        <v>19</v>
      </c>
      <c r="C340" t="s">
        <v>12</v>
      </c>
      <c r="D340">
        <v>555.29999999999995</v>
      </c>
      <c r="F340" s="3">
        <v>44127</v>
      </c>
      <c r="G340" s="2" t="str">
        <f t="shared" si="15"/>
        <v>October</v>
      </c>
      <c r="H340" s="2" t="str">
        <f t="shared" si="16"/>
        <v>Week 4</v>
      </c>
      <c r="I340" s="2" t="str">
        <f t="shared" si="17"/>
        <v>Quarter 4</v>
      </c>
    </row>
    <row r="341" spans="1:9" x14ac:dyDescent="0.25">
      <c r="A341">
        <v>2000085532</v>
      </c>
      <c r="B341" t="s">
        <v>19</v>
      </c>
      <c r="C341" t="s">
        <v>12</v>
      </c>
      <c r="D341">
        <v>14713.75</v>
      </c>
      <c r="F341" s="3">
        <v>44127</v>
      </c>
      <c r="G341" s="2" t="str">
        <f t="shared" si="15"/>
        <v>October</v>
      </c>
      <c r="H341" s="2" t="str">
        <f t="shared" si="16"/>
        <v>Week 4</v>
      </c>
      <c r="I341" s="2" t="str">
        <f t="shared" si="17"/>
        <v>Quarter 4</v>
      </c>
    </row>
    <row r="342" spans="1:9" x14ac:dyDescent="0.25">
      <c r="A342">
        <v>2000085754</v>
      </c>
      <c r="B342" t="s">
        <v>19</v>
      </c>
      <c r="C342" t="s">
        <v>9</v>
      </c>
      <c r="D342">
        <v>9.75</v>
      </c>
      <c r="F342" s="3">
        <v>44127</v>
      </c>
      <c r="G342" s="2" t="str">
        <f t="shared" si="15"/>
        <v>October</v>
      </c>
      <c r="H342" s="2" t="str">
        <f t="shared" si="16"/>
        <v>Week 4</v>
      </c>
      <c r="I342" s="2" t="str">
        <f t="shared" si="17"/>
        <v>Quarter 4</v>
      </c>
    </row>
    <row r="343" spans="1:9" x14ac:dyDescent="0.25">
      <c r="A343">
        <v>2000085555</v>
      </c>
      <c r="B343" t="s">
        <v>19</v>
      </c>
      <c r="C343" t="s">
        <v>12</v>
      </c>
      <c r="D343">
        <v>706.25</v>
      </c>
      <c r="F343" s="3">
        <v>44127</v>
      </c>
      <c r="G343" s="2" t="str">
        <f t="shared" si="15"/>
        <v>October</v>
      </c>
      <c r="H343" s="2" t="str">
        <f t="shared" si="16"/>
        <v>Week 4</v>
      </c>
      <c r="I343" s="2" t="str">
        <f t="shared" si="17"/>
        <v>Quarter 4</v>
      </c>
    </row>
    <row r="344" spans="1:9" x14ac:dyDescent="0.25">
      <c r="A344">
        <v>2000085610</v>
      </c>
      <c r="B344" t="s">
        <v>19</v>
      </c>
      <c r="C344" t="s">
        <v>13</v>
      </c>
      <c r="D344">
        <v>136.80000000000001</v>
      </c>
      <c r="F344" s="3">
        <v>44127</v>
      </c>
      <c r="G344" s="2" t="str">
        <f t="shared" si="15"/>
        <v>October</v>
      </c>
      <c r="H344" s="2" t="str">
        <f t="shared" si="16"/>
        <v>Week 4</v>
      </c>
      <c r="I344" s="2" t="str">
        <f t="shared" si="17"/>
        <v>Quarter 4</v>
      </c>
    </row>
    <row r="345" spans="1:9" x14ac:dyDescent="0.25">
      <c r="A345">
        <v>2000085755</v>
      </c>
      <c r="B345" t="s">
        <v>19</v>
      </c>
      <c r="C345" t="s">
        <v>9</v>
      </c>
      <c r="D345">
        <v>22.65</v>
      </c>
      <c r="F345" s="3">
        <v>44127</v>
      </c>
      <c r="G345" s="2" t="str">
        <f t="shared" si="15"/>
        <v>October</v>
      </c>
      <c r="H345" s="2" t="str">
        <f t="shared" si="16"/>
        <v>Week 4</v>
      </c>
      <c r="I345" s="2" t="str">
        <f t="shared" si="17"/>
        <v>Quarter 4</v>
      </c>
    </row>
    <row r="346" spans="1:9" x14ac:dyDescent="0.25">
      <c r="A346">
        <v>2000085589</v>
      </c>
      <c r="B346" t="s">
        <v>19</v>
      </c>
      <c r="C346" t="s">
        <v>14</v>
      </c>
      <c r="D346">
        <v>94</v>
      </c>
      <c r="F346" s="3">
        <v>44127</v>
      </c>
      <c r="G346" s="2" t="str">
        <f t="shared" si="15"/>
        <v>October</v>
      </c>
      <c r="H346" s="2" t="str">
        <f t="shared" si="16"/>
        <v>Week 4</v>
      </c>
      <c r="I346" s="2" t="str">
        <f t="shared" si="17"/>
        <v>Quarter 4</v>
      </c>
    </row>
    <row r="347" spans="1:9" x14ac:dyDescent="0.25">
      <c r="A347">
        <v>2000085627</v>
      </c>
      <c r="B347" t="s">
        <v>19</v>
      </c>
      <c r="C347" t="s">
        <v>21</v>
      </c>
      <c r="D347">
        <v>157.6</v>
      </c>
      <c r="F347" s="3">
        <v>44127</v>
      </c>
      <c r="G347" s="2" t="str">
        <f t="shared" si="15"/>
        <v>October</v>
      </c>
      <c r="H347" s="2" t="str">
        <f t="shared" si="16"/>
        <v>Week 4</v>
      </c>
      <c r="I347" s="2" t="str">
        <f t="shared" si="17"/>
        <v>Quarter 4</v>
      </c>
    </row>
    <row r="348" spans="1:9" x14ac:dyDescent="0.25">
      <c r="A348">
        <v>2000085653</v>
      </c>
      <c r="B348" t="s">
        <v>19</v>
      </c>
      <c r="C348" t="s">
        <v>14</v>
      </c>
      <c r="D348">
        <v>44.2</v>
      </c>
      <c r="F348" s="3">
        <v>44127</v>
      </c>
      <c r="G348" s="2" t="str">
        <f t="shared" si="15"/>
        <v>October</v>
      </c>
      <c r="H348" s="2" t="str">
        <f t="shared" si="16"/>
        <v>Week 4</v>
      </c>
      <c r="I348" s="2" t="str">
        <f t="shared" si="17"/>
        <v>Quarter 4</v>
      </c>
    </row>
    <row r="349" spans="1:9" x14ac:dyDescent="0.25">
      <c r="A349">
        <v>2000085665</v>
      </c>
      <c r="B349" t="s">
        <v>19</v>
      </c>
      <c r="C349" t="s">
        <v>11</v>
      </c>
      <c r="D349">
        <v>25.45</v>
      </c>
      <c r="F349" s="3">
        <v>44127</v>
      </c>
      <c r="G349" s="2" t="str">
        <f t="shared" si="15"/>
        <v>October</v>
      </c>
      <c r="H349" s="2" t="str">
        <f t="shared" si="16"/>
        <v>Week 4</v>
      </c>
      <c r="I349" s="2" t="str">
        <f t="shared" si="17"/>
        <v>Quarter 4</v>
      </c>
    </row>
    <row r="350" spans="1:9" x14ac:dyDescent="0.25">
      <c r="A350">
        <v>2000085639</v>
      </c>
      <c r="B350" t="s">
        <v>19</v>
      </c>
      <c r="C350" t="s">
        <v>13</v>
      </c>
      <c r="D350">
        <v>77.900000000000006</v>
      </c>
      <c r="F350" s="3">
        <v>44127</v>
      </c>
      <c r="G350" s="2" t="str">
        <f t="shared" si="15"/>
        <v>October</v>
      </c>
      <c r="H350" s="2" t="str">
        <f t="shared" si="16"/>
        <v>Week 4</v>
      </c>
      <c r="I350" s="2" t="str">
        <f t="shared" si="17"/>
        <v>Quarter 4</v>
      </c>
    </row>
    <row r="351" spans="1:9" x14ac:dyDescent="0.25">
      <c r="A351">
        <v>2000085756</v>
      </c>
      <c r="B351" t="s">
        <v>19</v>
      </c>
      <c r="C351" t="s">
        <v>9</v>
      </c>
      <c r="D351">
        <v>49.05</v>
      </c>
      <c r="F351" s="3">
        <v>44127</v>
      </c>
      <c r="G351" s="2" t="str">
        <f t="shared" si="15"/>
        <v>October</v>
      </c>
      <c r="H351" s="2" t="str">
        <f t="shared" si="16"/>
        <v>Week 4</v>
      </c>
      <c r="I351" s="2" t="str">
        <f t="shared" si="17"/>
        <v>Quarter 4</v>
      </c>
    </row>
    <row r="352" spans="1:9" x14ac:dyDescent="0.25">
      <c r="A352">
        <v>2000085615</v>
      </c>
      <c r="B352" t="s">
        <v>19</v>
      </c>
      <c r="C352" t="s">
        <v>13</v>
      </c>
      <c r="D352">
        <v>119.05</v>
      </c>
      <c r="F352" s="3">
        <v>44127</v>
      </c>
      <c r="G352" s="2" t="str">
        <f t="shared" si="15"/>
        <v>October</v>
      </c>
      <c r="H352" s="2" t="str">
        <f t="shared" si="16"/>
        <v>Week 4</v>
      </c>
      <c r="I352" s="2" t="str">
        <f t="shared" si="17"/>
        <v>Quarter 4</v>
      </c>
    </row>
    <row r="353" spans="1:9" x14ac:dyDescent="0.25">
      <c r="A353">
        <v>2000085678</v>
      </c>
      <c r="B353" t="s">
        <v>19</v>
      </c>
      <c r="C353" t="s">
        <v>11</v>
      </c>
      <c r="D353">
        <v>23.35</v>
      </c>
      <c r="F353" s="3">
        <v>44127</v>
      </c>
      <c r="G353" s="2" t="str">
        <f t="shared" si="15"/>
        <v>October</v>
      </c>
      <c r="H353" s="2" t="str">
        <f t="shared" si="16"/>
        <v>Week 4</v>
      </c>
      <c r="I353" s="2" t="str">
        <f t="shared" si="17"/>
        <v>Quarter 4</v>
      </c>
    </row>
    <row r="354" spans="1:9" x14ac:dyDescent="0.25">
      <c r="A354">
        <v>2000085657</v>
      </c>
      <c r="B354" t="s">
        <v>19</v>
      </c>
      <c r="C354" t="s">
        <v>14</v>
      </c>
      <c r="D354">
        <v>82.5</v>
      </c>
      <c r="F354" s="3">
        <v>44127</v>
      </c>
      <c r="G354" s="2" t="str">
        <f t="shared" si="15"/>
        <v>October</v>
      </c>
      <c r="H354" s="2" t="str">
        <f t="shared" si="16"/>
        <v>Week 4</v>
      </c>
      <c r="I354" s="2" t="str">
        <f t="shared" si="17"/>
        <v>Quarter 4</v>
      </c>
    </row>
    <row r="355" spans="1:9" x14ac:dyDescent="0.25">
      <c r="A355">
        <v>2000085679</v>
      </c>
      <c r="B355" t="s">
        <v>19</v>
      </c>
      <c r="C355" t="s">
        <v>11</v>
      </c>
      <c r="D355">
        <v>28.45</v>
      </c>
      <c r="F355" s="3">
        <v>44127</v>
      </c>
      <c r="G355" s="2" t="str">
        <f t="shared" si="15"/>
        <v>October</v>
      </c>
      <c r="H355" s="2" t="str">
        <f t="shared" si="16"/>
        <v>Week 4</v>
      </c>
      <c r="I355" s="2" t="str">
        <f t="shared" si="17"/>
        <v>Quarter 4</v>
      </c>
    </row>
    <row r="356" spans="1:9" x14ac:dyDescent="0.25">
      <c r="A356">
        <v>2000085757</v>
      </c>
      <c r="B356" t="s">
        <v>19</v>
      </c>
      <c r="C356" t="s">
        <v>9</v>
      </c>
      <c r="D356">
        <v>75.55</v>
      </c>
      <c r="F356" s="3">
        <v>44127</v>
      </c>
      <c r="G356" s="2" t="str">
        <f t="shared" si="15"/>
        <v>October</v>
      </c>
      <c r="H356" s="2" t="str">
        <f t="shared" si="16"/>
        <v>Week 4</v>
      </c>
      <c r="I356" s="2" t="str">
        <f t="shared" si="17"/>
        <v>Quarter 4</v>
      </c>
    </row>
    <row r="357" spans="1:9" x14ac:dyDescent="0.25">
      <c r="A357">
        <v>2000085594</v>
      </c>
      <c r="B357" t="s">
        <v>19</v>
      </c>
      <c r="C357" t="s">
        <v>13</v>
      </c>
      <c r="D357">
        <v>640.95000000000005</v>
      </c>
      <c r="F357" s="3">
        <v>44127</v>
      </c>
      <c r="G357" s="2" t="str">
        <f t="shared" si="15"/>
        <v>October</v>
      </c>
      <c r="H357" s="2" t="str">
        <f t="shared" si="16"/>
        <v>Week 4</v>
      </c>
      <c r="I357" s="2" t="str">
        <f t="shared" si="17"/>
        <v>Quarter 4</v>
      </c>
    </row>
    <row r="358" spans="1:9" x14ac:dyDescent="0.25">
      <c r="A358">
        <v>2000085538</v>
      </c>
      <c r="B358" t="s">
        <v>19</v>
      </c>
      <c r="C358" t="s">
        <v>12</v>
      </c>
      <c r="D358">
        <v>2835.4</v>
      </c>
      <c r="F358" s="3">
        <v>44127</v>
      </c>
      <c r="G358" s="2" t="str">
        <f t="shared" si="15"/>
        <v>October</v>
      </c>
      <c r="H358" s="2" t="str">
        <f t="shared" si="16"/>
        <v>Week 4</v>
      </c>
      <c r="I358" s="2" t="str">
        <f t="shared" si="17"/>
        <v>Quarter 4</v>
      </c>
    </row>
    <row r="359" spans="1:9" x14ac:dyDescent="0.25">
      <c r="A359">
        <v>2000085603</v>
      </c>
      <c r="B359" t="s">
        <v>19</v>
      </c>
      <c r="C359" t="s">
        <v>13</v>
      </c>
      <c r="D359">
        <v>394.5</v>
      </c>
      <c r="F359" s="3">
        <v>44127</v>
      </c>
      <c r="G359" s="2" t="str">
        <f t="shared" si="15"/>
        <v>October</v>
      </c>
      <c r="H359" s="2" t="str">
        <f t="shared" si="16"/>
        <v>Week 4</v>
      </c>
      <c r="I359" s="2" t="str">
        <f t="shared" si="17"/>
        <v>Quarter 4</v>
      </c>
    </row>
    <row r="360" spans="1:9" x14ac:dyDescent="0.25">
      <c r="A360">
        <v>2000085758</v>
      </c>
      <c r="B360" t="s">
        <v>19</v>
      </c>
      <c r="C360" t="s">
        <v>9</v>
      </c>
      <c r="D360">
        <v>55</v>
      </c>
      <c r="F360" s="3">
        <v>44127</v>
      </c>
      <c r="G360" s="2" t="str">
        <f t="shared" si="15"/>
        <v>October</v>
      </c>
      <c r="H360" s="2" t="str">
        <f t="shared" si="16"/>
        <v>Week 4</v>
      </c>
      <c r="I360" s="2" t="str">
        <f t="shared" si="17"/>
        <v>Quarter 4</v>
      </c>
    </row>
    <row r="361" spans="1:9" x14ac:dyDescent="0.25">
      <c r="A361">
        <v>2000085759</v>
      </c>
      <c r="B361" t="s">
        <v>19</v>
      </c>
      <c r="C361" t="s">
        <v>9</v>
      </c>
      <c r="D361">
        <v>11.85</v>
      </c>
      <c r="F361" s="3">
        <v>44127</v>
      </c>
      <c r="G361" s="2" t="str">
        <f t="shared" si="15"/>
        <v>October</v>
      </c>
      <c r="H361" s="2" t="str">
        <f t="shared" si="16"/>
        <v>Week 4</v>
      </c>
      <c r="I361" s="2" t="str">
        <f t="shared" si="17"/>
        <v>Quarter 4</v>
      </c>
    </row>
    <row r="362" spans="1:9" x14ac:dyDescent="0.25">
      <c r="A362">
        <v>2000085617</v>
      </c>
      <c r="B362" t="s">
        <v>19</v>
      </c>
      <c r="C362" t="s">
        <v>13</v>
      </c>
      <c r="D362">
        <v>109.4</v>
      </c>
      <c r="F362" s="3">
        <v>44127</v>
      </c>
      <c r="G362" s="2" t="str">
        <f t="shared" si="15"/>
        <v>October</v>
      </c>
      <c r="H362" s="2" t="str">
        <f t="shared" si="16"/>
        <v>Week 4</v>
      </c>
      <c r="I362" s="2" t="str">
        <f t="shared" si="17"/>
        <v>Quarter 4</v>
      </c>
    </row>
    <row r="363" spans="1:9" x14ac:dyDescent="0.25">
      <c r="A363">
        <v>2000085652</v>
      </c>
      <c r="B363" t="s">
        <v>19</v>
      </c>
      <c r="C363" t="s">
        <v>14</v>
      </c>
      <c r="D363">
        <v>29.55</v>
      </c>
      <c r="F363" s="3">
        <v>44127</v>
      </c>
      <c r="G363" s="2" t="str">
        <f t="shared" si="15"/>
        <v>October</v>
      </c>
      <c r="H363" s="2" t="str">
        <f t="shared" si="16"/>
        <v>Week 4</v>
      </c>
      <c r="I363" s="2" t="str">
        <f t="shared" si="17"/>
        <v>Quarter 4</v>
      </c>
    </row>
    <row r="364" spans="1:9" x14ac:dyDescent="0.25">
      <c r="A364">
        <v>2000085571</v>
      </c>
      <c r="B364" t="s">
        <v>19</v>
      </c>
      <c r="C364" t="s">
        <v>12</v>
      </c>
      <c r="D364">
        <v>436.8</v>
      </c>
      <c r="F364" s="3">
        <v>44127</v>
      </c>
      <c r="G364" s="2" t="str">
        <f t="shared" si="15"/>
        <v>October</v>
      </c>
      <c r="H364" s="2" t="str">
        <f t="shared" si="16"/>
        <v>Week 4</v>
      </c>
      <c r="I364" s="2" t="str">
        <f t="shared" si="17"/>
        <v>Quarter 4</v>
      </c>
    </row>
    <row r="365" spans="1:9" x14ac:dyDescent="0.25">
      <c r="A365">
        <v>2000085650</v>
      </c>
      <c r="B365" t="s">
        <v>19</v>
      </c>
      <c r="C365" t="s">
        <v>14</v>
      </c>
      <c r="D365">
        <v>40.1</v>
      </c>
      <c r="F365" s="3">
        <v>44127</v>
      </c>
      <c r="G365" s="2" t="str">
        <f t="shared" si="15"/>
        <v>October</v>
      </c>
      <c r="H365" s="2" t="str">
        <f t="shared" si="16"/>
        <v>Week 4</v>
      </c>
      <c r="I365" s="2" t="str">
        <f t="shared" si="17"/>
        <v>Quarter 4</v>
      </c>
    </row>
    <row r="366" spans="1:9" x14ac:dyDescent="0.25">
      <c r="A366">
        <v>2000085760</v>
      </c>
      <c r="B366" t="s">
        <v>19</v>
      </c>
      <c r="C366" t="s">
        <v>9</v>
      </c>
      <c r="D366">
        <v>149.69999999999999</v>
      </c>
      <c r="F366" s="3">
        <v>44127</v>
      </c>
      <c r="G366" s="2" t="str">
        <f t="shared" si="15"/>
        <v>October</v>
      </c>
      <c r="H366" s="2" t="str">
        <f t="shared" si="16"/>
        <v>Week 4</v>
      </c>
      <c r="I366" s="2" t="str">
        <f t="shared" si="17"/>
        <v>Quarter 4</v>
      </c>
    </row>
    <row r="367" spans="1:9" x14ac:dyDescent="0.25">
      <c r="A367">
        <v>2000085761</v>
      </c>
      <c r="B367" t="s">
        <v>19</v>
      </c>
      <c r="C367" t="s">
        <v>9</v>
      </c>
      <c r="D367">
        <v>62.2</v>
      </c>
      <c r="F367" s="3">
        <v>44127</v>
      </c>
      <c r="G367" s="2" t="str">
        <f t="shared" si="15"/>
        <v>October</v>
      </c>
      <c r="H367" s="2" t="str">
        <f t="shared" si="16"/>
        <v>Week 4</v>
      </c>
      <c r="I367" s="2" t="str">
        <f t="shared" si="17"/>
        <v>Quarter 4</v>
      </c>
    </row>
    <row r="368" spans="1:9" x14ac:dyDescent="0.25">
      <c r="A368">
        <v>2000085573</v>
      </c>
      <c r="B368" t="s">
        <v>19</v>
      </c>
      <c r="C368" t="s">
        <v>14</v>
      </c>
      <c r="D368">
        <v>55.65</v>
      </c>
      <c r="F368" s="3">
        <v>44127</v>
      </c>
      <c r="G368" s="2" t="str">
        <f t="shared" si="15"/>
        <v>October</v>
      </c>
      <c r="H368" s="2" t="str">
        <f t="shared" si="16"/>
        <v>Week 4</v>
      </c>
      <c r="I368" s="2" t="str">
        <f t="shared" si="17"/>
        <v>Quarter 4</v>
      </c>
    </row>
    <row r="369" spans="1:9" x14ac:dyDescent="0.25">
      <c r="A369">
        <v>2000085544</v>
      </c>
      <c r="B369" t="s">
        <v>19</v>
      </c>
      <c r="C369" t="s">
        <v>12</v>
      </c>
      <c r="D369">
        <v>1883.05</v>
      </c>
      <c r="F369" s="3">
        <v>44127</v>
      </c>
      <c r="G369" s="2" t="str">
        <f t="shared" si="15"/>
        <v>October</v>
      </c>
      <c r="H369" s="2" t="str">
        <f t="shared" si="16"/>
        <v>Week 4</v>
      </c>
      <c r="I369" s="2" t="str">
        <f t="shared" si="17"/>
        <v>Quarter 4</v>
      </c>
    </row>
    <row r="370" spans="1:9" x14ac:dyDescent="0.25">
      <c r="A370">
        <v>2000085762</v>
      </c>
      <c r="B370" t="s">
        <v>19</v>
      </c>
      <c r="C370" t="s">
        <v>9</v>
      </c>
      <c r="D370">
        <v>69.650000000000006</v>
      </c>
      <c r="F370" s="3">
        <v>44127</v>
      </c>
      <c r="G370" s="2" t="str">
        <f t="shared" si="15"/>
        <v>October</v>
      </c>
      <c r="H370" s="2" t="str">
        <f t="shared" si="16"/>
        <v>Week 4</v>
      </c>
      <c r="I370" s="2" t="str">
        <f t="shared" si="17"/>
        <v>Quarter 4</v>
      </c>
    </row>
    <row r="371" spans="1:9" x14ac:dyDescent="0.25">
      <c r="A371">
        <v>2000085645</v>
      </c>
      <c r="B371" t="s">
        <v>19</v>
      </c>
      <c r="C371" t="s">
        <v>14</v>
      </c>
      <c r="D371">
        <v>55.15</v>
      </c>
      <c r="F371" s="3">
        <v>44127</v>
      </c>
      <c r="G371" s="2" t="str">
        <f t="shared" si="15"/>
        <v>October</v>
      </c>
      <c r="H371" s="2" t="str">
        <f t="shared" si="16"/>
        <v>Week 4</v>
      </c>
      <c r="I371" s="2" t="str">
        <f t="shared" si="17"/>
        <v>Quarter 4</v>
      </c>
    </row>
    <row r="372" spans="1:9" x14ac:dyDescent="0.25">
      <c r="A372">
        <v>2000085763</v>
      </c>
      <c r="B372" t="s">
        <v>19</v>
      </c>
      <c r="C372" t="s">
        <v>9</v>
      </c>
      <c r="D372">
        <v>62.15</v>
      </c>
      <c r="F372" s="3">
        <v>44127</v>
      </c>
      <c r="G372" s="2" t="str">
        <f t="shared" si="15"/>
        <v>October</v>
      </c>
      <c r="H372" s="2" t="str">
        <f t="shared" si="16"/>
        <v>Week 4</v>
      </c>
      <c r="I372" s="2" t="str">
        <f t="shared" si="17"/>
        <v>Quarter 4</v>
      </c>
    </row>
    <row r="373" spans="1:9" x14ac:dyDescent="0.25">
      <c r="A373">
        <v>2000085764</v>
      </c>
      <c r="B373" t="s">
        <v>19</v>
      </c>
      <c r="C373" t="s">
        <v>9</v>
      </c>
      <c r="D373">
        <v>38</v>
      </c>
      <c r="F373" s="3">
        <v>44127</v>
      </c>
      <c r="G373" s="2" t="str">
        <f t="shared" si="15"/>
        <v>October</v>
      </c>
      <c r="H373" s="2" t="str">
        <f t="shared" si="16"/>
        <v>Week 4</v>
      </c>
      <c r="I373" s="2" t="str">
        <f t="shared" si="17"/>
        <v>Quarter 4</v>
      </c>
    </row>
    <row r="374" spans="1:9" x14ac:dyDescent="0.25">
      <c r="A374">
        <v>2000085596</v>
      </c>
      <c r="B374" t="s">
        <v>19</v>
      </c>
      <c r="C374" t="s">
        <v>13</v>
      </c>
      <c r="D374">
        <v>525.1</v>
      </c>
      <c r="F374" s="3">
        <v>44127</v>
      </c>
      <c r="G374" s="2" t="str">
        <f t="shared" si="15"/>
        <v>October</v>
      </c>
      <c r="H374" s="2" t="str">
        <f t="shared" si="16"/>
        <v>Week 4</v>
      </c>
      <c r="I374" s="2" t="str">
        <f t="shared" si="17"/>
        <v>Quarter 4</v>
      </c>
    </row>
    <row r="375" spans="1:9" x14ac:dyDescent="0.25">
      <c r="A375">
        <v>2000085765</v>
      </c>
      <c r="B375" t="s">
        <v>19</v>
      </c>
      <c r="C375" t="s">
        <v>9</v>
      </c>
      <c r="D375">
        <v>30.75</v>
      </c>
      <c r="F375" s="3">
        <v>44127</v>
      </c>
      <c r="G375" s="2" t="str">
        <f t="shared" si="15"/>
        <v>October</v>
      </c>
      <c r="H375" s="2" t="str">
        <f t="shared" si="16"/>
        <v>Week 4</v>
      </c>
      <c r="I375" s="2" t="str">
        <f t="shared" si="17"/>
        <v>Quarter 4</v>
      </c>
    </row>
    <row r="376" spans="1:9" x14ac:dyDescent="0.25">
      <c r="A376">
        <v>2000085649</v>
      </c>
      <c r="B376" t="s">
        <v>19</v>
      </c>
      <c r="C376" t="s">
        <v>14</v>
      </c>
      <c r="D376">
        <v>43.65</v>
      </c>
      <c r="F376" s="3">
        <v>44127</v>
      </c>
      <c r="G376" s="2" t="str">
        <f t="shared" si="15"/>
        <v>October</v>
      </c>
      <c r="H376" s="2" t="str">
        <f t="shared" si="16"/>
        <v>Week 4</v>
      </c>
      <c r="I376" s="2" t="str">
        <f t="shared" si="17"/>
        <v>Quarter 4</v>
      </c>
    </row>
    <row r="377" spans="1:9" x14ac:dyDescent="0.25">
      <c r="A377">
        <v>2000085606</v>
      </c>
      <c r="B377" t="s">
        <v>19</v>
      </c>
      <c r="C377" t="s">
        <v>13</v>
      </c>
      <c r="D377">
        <v>318.85000000000002</v>
      </c>
      <c r="F377" s="3">
        <v>44127</v>
      </c>
      <c r="G377" s="2" t="str">
        <f t="shared" si="15"/>
        <v>October</v>
      </c>
      <c r="H377" s="2" t="str">
        <f t="shared" si="16"/>
        <v>Week 4</v>
      </c>
      <c r="I377" s="2" t="str">
        <f t="shared" si="17"/>
        <v>Quarter 4</v>
      </c>
    </row>
    <row r="378" spans="1:9" x14ac:dyDescent="0.25">
      <c r="A378">
        <v>2000085766</v>
      </c>
      <c r="B378" t="s">
        <v>19</v>
      </c>
      <c r="C378" t="s">
        <v>9</v>
      </c>
      <c r="D378">
        <v>38</v>
      </c>
      <c r="F378" s="3">
        <v>44127</v>
      </c>
      <c r="G378" s="2" t="str">
        <f t="shared" si="15"/>
        <v>October</v>
      </c>
      <c r="H378" s="2" t="str">
        <f t="shared" si="16"/>
        <v>Week 4</v>
      </c>
      <c r="I378" s="2" t="str">
        <f t="shared" si="17"/>
        <v>Quarter 4</v>
      </c>
    </row>
    <row r="379" spans="1:9" x14ac:dyDescent="0.25">
      <c r="A379">
        <v>2000085552</v>
      </c>
      <c r="B379" t="s">
        <v>19</v>
      </c>
      <c r="C379" t="s">
        <v>12</v>
      </c>
      <c r="D379">
        <v>853.63</v>
      </c>
      <c r="F379" s="3">
        <v>44127</v>
      </c>
      <c r="G379" s="2" t="str">
        <f t="shared" si="15"/>
        <v>October</v>
      </c>
      <c r="H379" s="2" t="str">
        <f t="shared" si="16"/>
        <v>Week 4</v>
      </c>
      <c r="I379" s="2" t="str">
        <f t="shared" si="17"/>
        <v>Quarter 4</v>
      </c>
    </row>
    <row r="380" spans="1:9" x14ac:dyDescent="0.25">
      <c r="A380">
        <v>2000085539</v>
      </c>
      <c r="B380" t="s">
        <v>19</v>
      </c>
      <c r="C380" t="s">
        <v>12</v>
      </c>
      <c r="D380">
        <v>2762.6</v>
      </c>
      <c r="F380" s="3">
        <v>44127</v>
      </c>
      <c r="G380" s="2" t="str">
        <f t="shared" si="15"/>
        <v>October</v>
      </c>
      <c r="H380" s="2" t="str">
        <f t="shared" si="16"/>
        <v>Week 4</v>
      </c>
      <c r="I380" s="2" t="str">
        <f t="shared" si="17"/>
        <v>Quarter 4</v>
      </c>
    </row>
    <row r="381" spans="1:9" x14ac:dyDescent="0.25">
      <c r="A381">
        <v>2000085701</v>
      </c>
      <c r="B381" t="s">
        <v>19</v>
      </c>
      <c r="C381" t="s">
        <v>14</v>
      </c>
      <c r="D381">
        <v>43.31</v>
      </c>
      <c r="F381" s="3">
        <v>44127</v>
      </c>
      <c r="G381" s="2" t="str">
        <f t="shared" si="15"/>
        <v>October</v>
      </c>
      <c r="H381" s="2" t="str">
        <f t="shared" si="16"/>
        <v>Week 4</v>
      </c>
      <c r="I381" s="2" t="str">
        <f t="shared" si="17"/>
        <v>Quarter 4</v>
      </c>
    </row>
    <row r="382" spans="1:9" x14ac:dyDescent="0.25">
      <c r="A382">
        <v>2000085570</v>
      </c>
      <c r="B382" t="s">
        <v>19</v>
      </c>
      <c r="C382" t="s">
        <v>12</v>
      </c>
      <c r="D382">
        <v>444.3</v>
      </c>
      <c r="F382" s="3">
        <v>44127</v>
      </c>
      <c r="G382" s="2" t="str">
        <f t="shared" si="15"/>
        <v>October</v>
      </c>
      <c r="H382" s="2" t="str">
        <f t="shared" si="16"/>
        <v>Week 4</v>
      </c>
      <c r="I382" s="2" t="str">
        <f t="shared" si="17"/>
        <v>Quarter 4</v>
      </c>
    </row>
    <row r="383" spans="1:9" x14ac:dyDescent="0.25">
      <c r="A383">
        <v>2000085561</v>
      </c>
      <c r="B383" t="s">
        <v>19</v>
      </c>
      <c r="C383" t="s">
        <v>12</v>
      </c>
      <c r="D383">
        <v>573.1</v>
      </c>
      <c r="F383" s="3">
        <v>44127</v>
      </c>
      <c r="G383" s="2" t="str">
        <f t="shared" si="15"/>
        <v>October</v>
      </c>
      <c r="H383" s="2" t="str">
        <f t="shared" si="16"/>
        <v>Week 4</v>
      </c>
      <c r="I383" s="2" t="str">
        <f t="shared" si="17"/>
        <v>Quarter 4</v>
      </c>
    </row>
    <row r="384" spans="1:9" x14ac:dyDescent="0.25">
      <c r="A384">
        <v>2000085767</v>
      </c>
      <c r="B384" t="s">
        <v>19</v>
      </c>
      <c r="C384" t="s">
        <v>9</v>
      </c>
      <c r="D384">
        <v>24.55</v>
      </c>
      <c r="F384" s="3">
        <v>44127</v>
      </c>
      <c r="G384" s="2" t="str">
        <f t="shared" si="15"/>
        <v>October</v>
      </c>
      <c r="H384" s="2" t="str">
        <f t="shared" si="16"/>
        <v>Week 4</v>
      </c>
      <c r="I384" s="2" t="str">
        <f t="shared" si="17"/>
        <v>Quarter 4</v>
      </c>
    </row>
    <row r="385" spans="1:9" x14ac:dyDescent="0.25">
      <c r="A385">
        <v>2000085585</v>
      </c>
      <c r="B385" t="s">
        <v>19</v>
      </c>
      <c r="C385" t="s">
        <v>12</v>
      </c>
      <c r="D385">
        <v>252.65</v>
      </c>
      <c r="F385" s="3">
        <v>44127</v>
      </c>
      <c r="G385" s="2" t="str">
        <f t="shared" si="15"/>
        <v>October</v>
      </c>
      <c r="H385" s="2" t="str">
        <f t="shared" si="16"/>
        <v>Week 4</v>
      </c>
      <c r="I385" s="2" t="str">
        <f t="shared" si="17"/>
        <v>Quarter 4</v>
      </c>
    </row>
    <row r="386" spans="1:9" x14ac:dyDescent="0.25">
      <c r="A386">
        <v>2000085605</v>
      </c>
      <c r="B386" t="s">
        <v>19</v>
      </c>
      <c r="C386" t="s">
        <v>13</v>
      </c>
      <c r="D386">
        <v>368.86</v>
      </c>
      <c r="F386" s="3">
        <v>44127</v>
      </c>
      <c r="G386" s="2" t="str">
        <f t="shared" si="15"/>
        <v>October</v>
      </c>
      <c r="H386" s="2" t="str">
        <f t="shared" si="16"/>
        <v>Week 4</v>
      </c>
      <c r="I386" s="2" t="str">
        <f t="shared" si="17"/>
        <v>Quarter 4</v>
      </c>
    </row>
    <row r="387" spans="1:9" x14ac:dyDescent="0.25">
      <c r="A387">
        <v>2000085605</v>
      </c>
      <c r="B387" t="s">
        <v>19</v>
      </c>
      <c r="C387" t="s">
        <v>13</v>
      </c>
      <c r="D387">
        <v>83.49</v>
      </c>
      <c r="F387" s="3">
        <v>44127</v>
      </c>
      <c r="G387" s="2" t="str">
        <f t="shared" ref="G387:G437" si="18">TEXT(F387,"mmmm")</f>
        <v>October</v>
      </c>
      <c r="H387" s="2" t="str">
        <f t="shared" ref="H387:H437" si="19">"Week "&amp;((WEEKNUM(F387)-WEEKNUM(DATE(YEAR(F387),MONTH(F387),1))+1))</f>
        <v>Week 4</v>
      </c>
      <c r="I387" s="2" t="str">
        <f t="shared" ref="I387:I437" si="20">"Quarter " &amp; ROUNDUP((MONTH(F387))/3,0)</f>
        <v>Quarter 4</v>
      </c>
    </row>
    <row r="388" spans="1:9" x14ac:dyDescent="0.25">
      <c r="A388">
        <v>2000085592</v>
      </c>
      <c r="B388" t="s">
        <v>19</v>
      </c>
      <c r="C388" t="s">
        <v>12</v>
      </c>
      <c r="D388">
        <v>186.34</v>
      </c>
      <c r="F388" s="3">
        <v>44127</v>
      </c>
      <c r="G388" s="2" t="str">
        <f t="shared" si="18"/>
        <v>October</v>
      </c>
      <c r="H388" s="2" t="str">
        <f t="shared" si="19"/>
        <v>Week 4</v>
      </c>
      <c r="I388" s="2" t="str">
        <f t="shared" si="20"/>
        <v>Quarter 4</v>
      </c>
    </row>
    <row r="389" spans="1:9" x14ac:dyDescent="0.25">
      <c r="A389">
        <v>2000085577</v>
      </c>
      <c r="B389" t="s">
        <v>19</v>
      </c>
      <c r="C389" t="s">
        <v>13</v>
      </c>
      <c r="D389">
        <v>2335.1</v>
      </c>
      <c r="F389" s="3">
        <v>44127</v>
      </c>
      <c r="G389" s="2" t="str">
        <f t="shared" si="18"/>
        <v>October</v>
      </c>
      <c r="H389" s="2" t="str">
        <f t="shared" si="19"/>
        <v>Week 4</v>
      </c>
      <c r="I389" s="2" t="str">
        <f t="shared" si="20"/>
        <v>Quarter 4</v>
      </c>
    </row>
    <row r="390" spans="1:9" x14ac:dyDescent="0.25">
      <c r="A390">
        <v>2000085577</v>
      </c>
      <c r="B390" t="s">
        <v>19</v>
      </c>
      <c r="C390" t="s">
        <v>13</v>
      </c>
      <c r="D390">
        <v>21.05</v>
      </c>
      <c r="F390" s="3">
        <v>44127</v>
      </c>
      <c r="G390" s="2" t="str">
        <f t="shared" si="18"/>
        <v>October</v>
      </c>
      <c r="H390" s="2" t="str">
        <f t="shared" si="19"/>
        <v>Week 4</v>
      </c>
      <c r="I390" s="2" t="str">
        <f t="shared" si="20"/>
        <v>Quarter 4</v>
      </c>
    </row>
    <row r="391" spans="1:9" x14ac:dyDescent="0.25">
      <c r="A391">
        <v>2000085636</v>
      </c>
      <c r="B391" t="s">
        <v>19</v>
      </c>
      <c r="C391" t="s">
        <v>13</v>
      </c>
      <c r="D391">
        <v>60.65</v>
      </c>
      <c r="F391" s="3">
        <v>44127</v>
      </c>
      <c r="G391" s="2" t="str">
        <f t="shared" si="18"/>
        <v>October</v>
      </c>
      <c r="H391" s="2" t="str">
        <f t="shared" si="19"/>
        <v>Week 4</v>
      </c>
      <c r="I391" s="2" t="str">
        <f t="shared" si="20"/>
        <v>Quarter 4</v>
      </c>
    </row>
    <row r="392" spans="1:9" x14ac:dyDescent="0.25">
      <c r="A392">
        <v>2000085607</v>
      </c>
      <c r="B392" t="s">
        <v>19</v>
      </c>
      <c r="C392" t="s">
        <v>13</v>
      </c>
      <c r="D392">
        <v>143.02000000000001</v>
      </c>
      <c r="F392" s="3">
        <v>44127</v>
      </c>
      <c r="G392" s="2" t="str">
        <f t="shared" si="18"/>
        <v>October</v>
      </c>
      <c r="H392" s="2" t="str">
        <f t="shared" si="19"/>
        <v>Week 4</v>
      </c>
      <c r="I392" s="2" t="str">
        <f t="shared" si="20"/>
        <v>Quarter 4</v>
      </c>
    </row>
    <row r="393" spans="1:9" x14ac:dyDescent="0.25">
      <c r="A393">
        <v>2000085637</v>
      </c>
      <c r="B393" t="s">
        <v>19</v>
      </c>
      <c r="C393" t="s">
        <v>13</v>
      </c>
      <c r="D393">
        <v>7.8</v>
      </c>
      <c r="F393" s="3">
        <v>44127</v>
      </c>
      <c r="G393" s="2" t="str">
        <f t="shared" si="18"/>
        <v>October</v>
      </c>
      <c r="H393" s="2" t="str">
        <f t="shared" si="19"/>
        <v>Week 4</v>
      </c>
      <c r="I393" s="2" t="str">
        <f t="shared" si="20"/>
        <v>Quarter 4</v>
      </c>
    </row>
    <row r="394" spans="1:9" x14ac:dyDescent="0.25">
      <c r="A394">
        <v>2000085638</v>
      </c>
      <c r="B394" t="s">
        <v>19</v>
      </c>
      <c r="C394" t="s">
        <v>13</v>
      </c>
      <c r="D394">
        <v>10.050000000000001</v>
      </c>
      <c r="F394" s="3">
        <v>44127</v>
      </c>
      <c r="G394" s="2" t="str">
        <f t="shared" si="18"/>
        <v>October</v>
      </c>
      <c r="H394" s="2" t="str">
        <f t="shared" si="19"/>
        <v>Week 4</v>
      </c>
      <c r="I394" s="2" t="str">
        <f t="shared" si="20"/>
        <v>Quarter 4</v>
      </c>
    </row>
    <row r="395" spans="1:9" x14ac:dyDescent="0.25">
      <c r="A395">
        <v>2000085656</v>
      </c>
      <c r="B395" t="s">
        <v>19</v>
      </c>
      <c r="C395" t="s">
        <v>14</v>
      </c>
      <c r="D395">
        <v>40</v>
      </c>
      <c r="F395" s="3">
        <v>44127</v>
      </c>
      <c r="G395" s="2" t="str">
        <f t="shared" si="18"/>
        <v>October</v>
      </c>
      <c r="H395" s="2" t="str">
        <f t="shared" si="19"/>
        <v>Week 4</v>
      </c>
      <c r="I395" s="2" t="str">
        <f t="shared" si="20"/>
        <v>Quarter 4</v>
      </c>
    </row>
    <row r="396" spans="1:9" x14ac:dyDescent="0.25">
      <c r="A396">
        <v>2000085768</v>
      </c>
      <c r="B396" t="s">
        <v>19</v>
      </c>
      <c r="C396" t="s">
        <v>9</v>
      </c>
      <c r="D396">
        <v>13.2</v>
      </c>
      <c r="F396" s="3">
        <v>44127</v>
      </c>
      <c r="G396" s="2" t="str">
        <f t="shared" si="18"/>
        <v>October</v>
      </c>
      <c r="H396" s="2" t="str">
        <f t="shared" si="19"/>
        <v>Week 4</v>
      </c>
      <c r="I396" s="2" t="str">
        <f t="shared" si="20"/>
        <v>Quarter 4</v>
      </c>
    </row>
    <row r="397" spans="1:9" x14ac:dyDescent="0.25">
      <c r="A397">
        <v>2000085770</v>
      </c>
      <c r="B397" t="s">
        <v>19</v>
      </c>
      <c r="C397" t="s">
        <v>9</v>
      </c>
      <c r="D397">
        <v>65.8</v>
      </c>
      <c r="F397" s="3">
        <v>44127</v>
      </c>
      <c r="G397" s="2" t="str">
        <f t="shared" si="18"/>
        <v>October</v>
      </c>
      <c r="H397" s="2" t="str">
        <f t="shared" si="19"/>
        <v>Week 4</v>
      </c>
      <c r="I397" s="2" t="str">
        <f t="shared" si="20"/>
        <v>Quarter 4</v>
      </c>
    </row>
    <row r="398" spans="1:9" x14ac:dyDescent="0.25">
      <c r="A398">
        <v>2000085771</v>
      </c>
      <c r="B398" t="s">
        <v>19</v>
      </c>
      <c r="C398" t="s">
        <v>9</v>
      </c>
      <c r="D398">
        <v>79.8</v>
      </c>
      <c r="F398" s="3">
        <v>44127</v>
      </c>
      <c r="G398" s="2" t="str">
        <f t="shared" si="18"/>
        <v>October</v>
      </c>
      <c r="H398" s="2" t="str">
        <f t="shared" si="19"/>
        <v>Week 4</v>
      </c>
      <c r="I398" s="2" t="str">
        <f t="shared" si="20"/>
        <v>Quarter 4</v>
      </c>
    </row>
    <row r="399" spans="1:9" x14ac:dyDescent="0.25">
      <c r="A399">
        <v>2000085772</v>
      </c>
      <c r="B399" t="s">
        <v>19</v>
      </c>
      <c r="C399" t="s">
        <v>9</v>
      </c>
      <c r="D399">
        <v>34.299999999999997</v>
      </c>
      <c r="F399" s="3">
        <v>44127</v>
      </c>
      <c r="G399" s="2" t="str">
        <f t="shared" si="18"/>
        <v>October</v>
      </c>
      <c r="H399" s="2" t="str">
        <f t="shared" si="19"/>
        <v>Week 4</v>
      </c>
      <c r="I399" s="2" t="str">
        <f t="shared" si="20"/>
        <v>Quarter 4</v>
      </c>
    </row>
    <row r="400" spans="1:9" x14ac:dyDescent="0.25">
      <c r="A400">
        <v>2000085597</v>
      </c>
      <c r="B400" t="s">
        <v>19</v>
      </c>
      <c r="C400" t="s">
        <v>13</v>
      </c>
      <c r="D400">
        <v>447.8</v>
      </c>
      <c r="F400" s="3">
        <v>44127</v>
      </c>
      <c r="G400" s="2" t="str">
        <f t="shared" si="18"/>
        <v>October</v>
      </c>
      <c r="H400" s="2" t="str">
        <f t="shared" si="19"/>
        <v>Week 4</v>
      </c>
      <c r="I400" s="2" t="str">
        <f t="shared" si="20"/>
        <v>Quarter 4</v>
      </c>
    </row>
    <row r="401" spans="1:9" x14ac:dyDescent="0.25">
      <c r="A401">
        <v>2000085773</v>
      </c>
      <c r="B401" t="s">
        <v>19</v>
      </c>
      <c r="C401" t="s">
        <v>9</v>
      </c>
      <c r="D401">
        <v>23.65</v>
      </c>
      <c r="F401" s="3">
        <v>44127</v>
      </c>
      <c r="G401" s="2" t="str">
        <f t="shared" si="18"/>
        <v>October</v>
      </c>
      <c r="H401" s="2" t="str">
        <f t="shared" si="19"/>
        <v>Week 4</v>
      </c>
      <c r="I401" s="2" t="str">
        <f t="shared" si="20"/>
        <v>Quarter 4</v>
      </c>
    </row>
    <row r="402" spans="1:9" x14ac:dyDescent="0.25">
      <c r="A402">
        <v>2000085548</v>
      </c>
      <c r="B402" t="s">
        <v>19</v>
      </c>
      <c r="C402" t="s">
        <v>12</v>
      </c>
      <c r="D402">
        <v>1095.8</v>
      </c>
      <c r="F402" s="3">
        <v>44127</v>
      </c>
      <c r="G402" s="2" t="str">
        <f t="shared" si="18"/>
        <v>October</v>
      </c>
      <c r="H402" s="2" t="str">
        <f t="shared" si="19"/>
        <v>Week 4</v>
      </c>
      <c r="I402" s="2" t="str">
        <f t="shared" si="20"/>
        <v>Quarter 4</v>
      </c>
    </row>
    <row r="403" spans="1:9" x14ac:dyDescent="0.25">
      <c r="A403">
        <v>2000085531</v>
      </c>
      <c r="B403" t="s">
        <v>19</v>
      </c>
      <c r="C403" t="s">
        <v>12</v>
      </c>
      <c r="D403">
        <v>15453.25</v>
      </c>
      <c r="F403" s="3">
        <v>44127</v>
      </c>
      <c r="G403" s="2" t="str">
        <f t="shared" si="18"/>
        <v>October</v>
      </c>
      <c r="H403" s="2" t="str">
        <f t="shared" si="19"/>
        <v>Week 4</v>
      </c>
      <c r="I403" s="2" t="str">
        <f t="shared" si="20"/>
        <v>Quarter 4</v>
      </c>
    </row>
    <row r="404" spans="1:9" x14ac:dyDescent="0.25">
      <c r="A404">
        <v>2000085774</v>
      </c>
      <c r="B404" t="s">
        <v>19</v>
      </c>
      <c r="C404" t="s">
        <v>9</v>
      </c>
      <c r="D404">
        <v>43.95</v>
      </c>
      <c r="F404" s="3">
        <v>44127</v>
      </c>
      <c r="G404" s="2" t="str">
        <f t="shared" si="18"/>
        <v>October</v>
      </c>
      <c r="H404" s="2" t="str">
        <f t="shared" si="19"/>
        <v>Week 4</v>
      </c>
      <c r="I404" s="2" t="str">
        <f t="shared" si="20"/>
        <v>Quarter 4</v>
      </c>
    </row>
    <row r="405" spans="1:9" x14ac:dyDescent="0.25">
      <c r="A405">
        <v>2000085681</v>
      </c>
      <c r="B405" t="s">
        <v>19</v>
      </c>
      <c r="C405" t="s">
        <v>11</v>
      </c>
      <c r="D405">
        <v>20.9</v>
      </c>
      <c r="F405" s="3">
        <v>44127</v>
      </c>
      <c r="G405" s="2" t="str">
        <f t="shared" si="18"/>
        <v>October</v>
      </c>
      <c r="H405" s="2" t="str">
        <f t="shared" si="19"/>
        <v>Week 4</v>
      </c>
      <c r="I405" s="2" t="str">
        <f t="shared" si="20"/>
        <v>Quarter 4</v>
      </c>
    </row>
    <row r="406" spans="1:9" x14ac:dyDescent="0.25">
      <c r="A406">
        <v>2000085775</v>
      </c>
      <c r="B406" t="s">
        <v>19</v>
      </c>
      <c r="C406" t="s">
        <v>9</v>
      </c>
      <c r="D406">
        <v>7.7</v>
      </c>
      <c r="F406" s="3">
        <v>44127</v>
      </c>
      <c r="G406" s="2" t="str">
        <f t="shared" si="18"/>
        <v>October</v>
      </c>
      <c r="H406" s="2" t="str">
        <f t="shared" si="19"/>
        <v>Week 4</v>
      </c>
      <c r="I406" s="2" t="str">
        <f t="shared" si="20"/>
        <v>Quarter 4</v>
      </c>
    </row>
    <row r="407" spans="1:9" x14ac:dyDescent="0.25">
      <c r="A407">
        <v>2000085777</v>
      </c>
      <c r="B407" t="s">
        <v>19</v>
      </c>
      <c r="C407" t="s">
        <v>9</v>
      </c>
      <c r="D407">
        <v>23.45</v>
      </c>
      <c r="F407" s="3">
        <v>44127</v>
      </c>
      <c r="G407" s="2" t="str">
        <f t="shared" si="18"/>
        <v>October</v>
      </c>
      <c r="H407" s="2" t="str">
        <f t="shared" si="19"/>
        <v>Week 4</v>
      </c>
      <c r="I407" s="2" t="str">
        <f t="shared" si="20"/>
        <v>Quarter 4</v>
      </c>
    </row>
    <row r="408" spans="1:9" x14ac:dyDescent="0.25">
      <c r="A408">
        <v>2000085582</v>
      </c>
      <c r="B408" t="s">
        <v>19</v>
      </c>
      <c r="C408" t="s">
        <v>12</v>
      </c>
      <c r="D408">
        <v>327.2</v>
      </c>
      <c r="F408" s="3">
        <v>44127</v>
      </c>
      <c r="G408" s="2" t="str">
        <f t="shared" si="18"/>
        <v>October</v>
      </c>
      <c r="H408" s="2" t="str">
        <f t="shared" si="19"/>
        <v>Week 4</v>
      </c>
      <c r="I408" s="2" t="str">
        <f t="shared" si="20"/>
        <v>Quarter 4</v>
      </c>
    </row>
    <row r="409" spans="1:9" x14ac:dyDescent="0.25">
      <c r="A409">
        <v>2000085778</v>
      </c>
      <c r="B409" t="s">
        <v>19</v>
      </c>
      <c r="C409" t="s">
        <v>9</v>
      </c>
      <c r="D409">
        <v>27.85</v>
      </c>
      <c r="F409" s="3">
        <v>44127</v>
      </c>
      <c r="G409" s="2" t="str">
        <f t="shared" si="18"/>
        <v>October</v>
      </c>
      <c r="H409" s="2" t="str">
        <f t="shared" si="19"/>
        <v>Week 4</v>
      </c>
      <c r="I409" s="2" t="str">
        <f t="shared" si="20"/>
        <v>Quarter 4</v>
      </c>
    </row>
    <row r="410" spans="1:9" x14ac:dyDescent="0.25">
      <c r="A410">
        <v>2000085704</v>
      </c>
      <c r="B410" t="s">
        <v>19</v>
      </c>
      <c r="C410" t="s">
        <v>9</v>
      </c>
      <c r="D410">
        <v>95.6</v>
      </c>
      <c r="F410" s="3">
        <v>44127</v>
      </c>
      <c r="G410" s="2" t="str">
        <f t="shared" si="18"/>
        <v>October</v>
      </c>
      <c r="H410" s="2" t="str">
        <f t="shared" si="19"/>
        <v>Week 4</v>
      </c>
      <c r="I410" s="2" t="str">
        <f t="shared" si="20"/>
        <v>Quarter 4</v>
      </c>
    </row>
    <row r="411" spans="1:9" x14ac:dyDescent="0.25">
      <c r="A411">
        <v>2000085699</v>
      </c>
      <c r="B411" t="s">
        <v>19</v>
      </c>
      <c r="C411" t="s">
        <v>10</v>
      </c>
      <c r="D411">
        <v>447.48</v>
      </c>
      <c r="F411" s="3">
        <v>44127</v>
      </c>
      <c r="G411" s="2" t="str">
        <f t="shared" si="18"/>
        <v>October</v>
      </c>
      <c r="H411" s="2" t="str">
        <f t="shared" si="19"/>
        <v>Week 4</v>
      </c>
      <c r="I411" s="2" t="str">
        <f t="shared" si="20"/>
        <v>Quarter 4</v>
      </c>
    </row>
    <row r="412" spans="1:9" x14ac:dyDescent="0.25">
      <c r="A412">
        <v>2000085699</v>
      </c>
      <c r="B412" t="s">
        <v>19</v>
      </c>
      <c r="C412" t="s">
        <v>10</v>
      </c>
      <c r="D412">
        <v>914.35</v>
      </c>
      <c r="F412" s="3">
        <v>44127</v>
      </c>
      <c r="G412" s="2" t="str">
        <f t="shared" si="18"/>
        <v>October</v>
      </c>
      <c r="H412" s="2" t="str">
        <f t="shared" si="19"/>
        <v>Week 4</v>
      </c>
      <c r="I412" s="2" t="str">
        <f t="shared" si="20"/>
        <v>Quarter 4</v>
      </c>
    </row>
    <row r="413" spans="1:9" x14ac:dyDescent="0.25">
      <c r="A413">
        <v>2000085581</v>
      </c>
      <c r="B413" t="s">
        <v>19</v>
      </c>
      <c r="C413" t="s">
        <v>21</v>
      </c>
      <c r="D413">
        <v>83.05</v>
      </c>
      <c r="F413" s="3">
        <v>44127</v>
      </c>
      <c r="G413" s="2" t="str">
        <f t="shared" si="18"/>
        <v>October</v>
      </c>
      <c r="H413" s="2" t="str">
        <f t="shared" si="19"/>
        <v>Week 4</v>
      </c>
      <c r="I413" s="2" t="str">
        <f t="shared" si="20"/>
        <v>Quarter 4</v>
      </c>
    </row>
    <row r="414" spans="1:9" x14ac:dyDescent="0.25">
      <c r="A414">
        <v>2000085779</v>
      </c>
      <c r="B414" t="s">
        <v>19</v>
      </c>
      <c r="C414" t="s">
        <v>9</v>
      </c>
      <c r="D414">
        <v>7.8</v>
      </c>
      <c r="F414" s="3">
        <v>44127</v>
      </c>
      <c r="G414" s="2" t="str">
        <f t="shared" si="18"/>
        <v>October</v>
      </c>
      <c r="H414" s="2" t="str">
        <f t="shared" si="19"/>
        <v>Week 4</v>
      </c>
      <c r="I414" s="2" t="str">
        <f t="shared" si="20"/>
        <v>Quarter 4</v>
      </c>
    </row>
    <row r="415" spans="1:9" x14ac:dyDescent="0.25">
      <c r="A415">
        <v>2000085618</v>
      </c>
      <c r="B415" t="s">
        <v>19</v>
      </c>
      <c r="C415" t="s">
        <v>21</v>
      </c>
      <c r="D415">
        <v>108.34</v>
      </c>
      <c r="F415" s="3">
        <v>44127</v>
      </c>
      <c r="G415" s="2" t="str">
        <f t="shared" si="18"/>
        <v>October</v>
      </c>
      <c r="H415" s="2" t="str">
        <f t="shared" si="19"/>
        <v>Week 4</v>
      </c>
      <c r="I415" s="2" t="str">
        <f t="shared" si="20"/>
        <v>Quarter 4</v>
      </c>
    </row>
    <row r="416" spans="1:9" x14ac:dyDescent="0.25">
      <c r="A416">
        <v>2000085647</v>
      </c>
      <c r="B416" t="s">
        <v>19</v>
      </c>
      <c r="C416" t="s">
        <v>14</v>
      </c>
      <c r="D416">
        <v>55.13</v>
      </c>
      <c r="F416" s="3">
        <v>44127</v>
      </c>
      <c r="G416" s="2" t="str">
        <f t="shared" si="18"/>
        <v>October</v>
      </c>
      <c r="H416" s="2" t="str">
        <f t="shared" si="19"/>
        <v>Week 4</v>
      </c>
      <c r="I416" s="2" t="str">
        <f t="shared" si="20"/>
        <v>Quarter 4</v>
      </c>
    </row>
    <row r="417" spans="1:9" x14ac:dyDescent="0.25">
      <c r="A417">
        <v>2000085651</v>
      </c>
      <c r="B417" t="s">
        <v>19</v>
      </c>
      <c r="C417" t="s">
        <v>14</v>
      </c>
      <c r="D417">
        <v>129.65</v>
      </c>
      <c r="F417" s="3">
        <v>44127</v>
      </c>
      <c r="G417" s="2" t="str">
        <f t="shared" si="18"/>
        <v>October</v>
      </c>
      <c r="H417" s="2" t="str">
        <f t="shared" si="19"/>
        <v>Week 4</v>
      </c>
      <c r="I417" s="2" t="str">
        <f t="shared" si="20"/>
        <v>Quarter 4</v>
      </c>
    </row>
    <row r="418" spans="1:9" x14ac:dyDescent="0.25">
      <c r="A418">
        <v>2000085692</v>
      </c>
      <c r="B418" t="s">
        <v>19</v>
      </c>
      <c r="C418" t="s">
        <v>10</v>
      </c>
      <c r="D418">
        <v>2150.17</v>
      </c>
      <c r="F418" s="3">
        <v>44127</v>
      </c>
      <c r="G418" s="2" t="str">
        <f t="shared" si="18"/>
        <v>October</v>
      </c>
      <c r="H418" s="2" t="str">
        <f t="shared" si="19"/>
        <v>Week 4</v>
      </c>
      <c r="I418" s="2" t="str">
        <f t="shared" si="20"/>
        <v>Quarter 4</v>
      </c>
    </row>
    <row r="419" spans="1:9" x14ac:dyDescent="0.25">
      <c r="A419">
        <v>2000085705</v>
      </c>
      <c r="B419" t="s">
        <v>19</v>
      </c>
      <c r="C419" t="s">
        <v>10</v>
      </c>
      <c r="D419">
        <v>15000</v>
      </c>
      <c r="F419" s="3">
        <v>44127</v>
      </c>
      <c r="G419" s="2" t="str">
        <f t="shared" si="18"/>
        <v>October</v>
      </c>
      <c r="H419" s="2" t="str">
        <f t="shared" si="19"/>
        <v>Week 4</v>
      </c>
      <c r="I419" s="2" t="str">
        <f t="shared" si="20"/>
        <v>Quarter 4</v>
      </c>
    </row>
    <row r="420" spans="1:9" x14ac:dyDescent="0.25">
      <c r="A420">
        <v>2000085661</v>
      </c>
      <c r="B420" t="s">
        <v>19</v>
      </c>
      <c r="C420" t="s">
        <v>10</v>
      </c>
      <c r="D420">
        <v>4.0999999999999996</v>
      </c>
      <c r="F420" s="3">
        <v>44127</v>
      </c>
      <c r="G420" s="2" t="str">
        <f t="shared" si="18"/>
        <v>October</v>
      </c>
      <c r="H420" s="2" t="str">
        <f t="shared" si="19"/>
        <v>Week 4</v>
      </c>
      <c r="I420" s="2" t="str">
        <f t="shared" si="20"/>
        <v>Quarter 4</v>
      </c>
    </row>
    <row r="421" spans="1:9" x14ac:dyDescent="0.25">
      <c r="A421">
        <v>2000085530</v>
      </c>
      <c r="B421" t="s">
        <v>19</v>
      </c>
      <c r="C421" t="s">
        <v>13</v>
      </c>
      <c r="D421">
        <v>15.4</v>
      </c>
      <c r="F421" s="3">
        <v>44127</v>
      </c>
      <c r="G421" s="2" t="str">
        <f t="shared" si="18"/>
        <v>October</v>
      </c>
      <c r="H421" s="2" t="str">
        <f t="shared" si="19"/>
        <v>Week 4</v>
      </c>
      <c r="I421" s="2" t="str">
        <f t="shared" si="20"/>
        <v>Quarter 4</v>
      </c>
    </row>
    <row r="422" spans="1:9" x14ac:dyDescent="0.25">
      <c r="A422">
        <v>2000085781</v>
      </c>
      <c r="B422" t="s">
        <v>19</v>
      </c>
      <c r="C422" t="s">
        <v>9</v>
      </c>
      <c r="D422">
        <v>82.85</v>
      </c>
      <c r="F422" s="3">
        <v>44127</v>
      </c>
      <c r="G422" s="2" t="str">
        <f t="shared" si="18"/>
        <v>October</v>
      </c>
      <c r="H422" s="2" t="str">
        <f t="shared" si="19"/>
        <v>Week 4</v>
      </c>
      <c r="I422" s="2" t="str">
        <f t="shared" si="20"/>
        <v>Quarter 4</v>
      </c>
    </row>
    <row r="423" spans="1:9" x14ac:dyDescent="0.25">
      <c r="A423">
        <v>2000085623</v>
      </c>
      <c r="B423" t="s">
        <v>19</v>
      </c>
      <c r="C423" t="s">
        <v>21</v>
      </c>
      <c r="D423">
        <v>7.7</v>
      </c>
      <c r="F423" s="3">
        <v>44127</v>
      </c>
      <c r="G423" s="2" t="str">
        <f t="shared" si="18"/>
        <v>October</v>
      </c>
      <c r="H423" s="2" t="str">
        <f t="shared" si="19"/>
        <v>Week 4</v>
      </c>
      <c r="I423" s="2" t="str">
        <f t="shared" si="20"/>
        <v>Quarter 4</v>
      </c>
    </row>
    <row r="424" spans="1:9" x14ac:dyDescent="0.25">
      <c r="A424">
        <v>2000085692</v>
      </c>
      <c r="B424" t="s">
        <v>19</v>
      </c>
      <c r="C424" t="s">
        <v>10</v>
      </c>
      <c r="D424">
        <v>1629.35</v>
      </c>
      <c r="F424" s="3">
        <v>44127</v>
      </c>
      <c r="G424" s="2" t="str">
        <f t="shared" si="18"/>
        <v>October</v>
      </c>
      <c r="H424" s="2" t="str">
        <f t="shared" si="19"/>
        <v>Week 4</v>
      </c>
      <c r="I424" s="2" t="str">
        <f t="shared" si="20"/>
        <v>Quarter 4</v>
      </c>
    </row>
    <row r="425" spans="1:9" x14ac:dyDescent="0.25">
      <c r="A425">
        <v>2000085698</v>
      </c>
      <c r="B425" t="s">
        <v>19</v>
      </c>
      <c r="C425" t="s">
        <v>10</v>
      </c>
      <c r="D425">
        <v>312.64999999999998</v>
      </c>
      <c r="F425" s="3">
        <v>44127</v>
      </c>
      <c r="G425" s="2" t="str">
        <f t="shared" si="18"/>
        <v>October</v>
      </c>
      <c r="H425" s="2" t="str">
        <f t="shared" si="19"/>
        <v>Week 4</v>
      </c>
      <c r="I425" s="2" t="str">
        <f t="shared" si="20"/>
        <v>Quarter 4</v>
      </c>
    </row>
    <row r="426" spans="1:9" x14ac:dyDescent="0.25">
      <c r="A426">
        <v>2000085702</v>
      </c>
      <c r="B426" t="s">
        <v>19</v>
      </c>
      <c r="C426" t="s">
        <v>13</v>
      </c>
      <c r="D426">
        <v>186.39</v>
      </c>
      <c r="F426" s="3">
        <v>44127</v>
      </c>
      <c r="G426" s="2" t="str">
        <f t="shared" si="18"/>
        <v>October</v>
      </c>
      <c r="H426" s="2" t="str">
        <f t="shared" si="19"/>
        <v>Week 4</v>
      </c>
      <c r="I426" s="2" t="str">
        <f t="shared" si="20"/>
        <v>Quarter 4</v>
      </c>
    </row>
    <row r="427" spans="1:9" x14ac:dyDescent="0.25">
      <c r="A427">
        <v>2000085692</v>
      </c>
      <c r="B427" t="s">
        <v>19</v>
      </c>
      <c r="C427" t="s">
        <v>10</v>
      </c>
      <c r="D427">
        <v>1934.78</v>
      </c>
      <c r="F427" s="3">
        <v>44127</v>
      </c>
      <c r="G427" s="2" t="str">
        <f t="shared" si="18"/>
        <v>October</v>
      </c>
      <c r="H427" s="2" t="str">
        <f t="shared" si="19"/>
        <v>Week 4</v>
      </c>
      <c r="I427" s="2" t="str">
        <f t="shared" si="20"/>
        <v>Quarter 4</v>
      </c>
    </row>
    <row r="428" spans="1:9" x14ac:dyDescent="0.25">
      <c r="A428">
        <v>2000085692</v>
      </c>
      <c r="B428" t="s">
        <v>19</v>
      </c>
      <c r="C428" t="s">
        <v>10</v>
      </c>
      <c r="D428">
        <v>2310.8000000000002</v>
      </c>
      <c r="F428" s="3">
        <v>44127</v>
      </c>
      <c r="G428" s="2" t="str">
        <f t="shared" si="18"/>
        <v>October</v>
      </c>
      <c r="H428" s="2" t="str">
        <f t="shared" si="19"/>
        <v>Week 4</v>
      </c>
      <c r="I428" s="2" t="str">
        <f t="shared" si="20"/>
        <v>Quarter 4</v>
      </c>
    </row>
    <row r="429" spans="1:9" x14ac:dyDescent="0.25">
      <c r="A429">
        <v>2000085697</v>
      </c>
      <c r="B429" t="s">
        <v>19</v>
      </c>
      <c r="C429" t="s">
        <v>10</v>
      </c>
      <c r="D429">
        <v>50.55</v>
      </c>
      <c r="F429" s="3">
        <v>44127</v>
      </c>
      <c r="G429" s="2" t="str">
        <f t="shared" si="18"/>
        <v>October</v>
      </c>
      <c r="H429" s="2" t="str">
        <f t="shared" si="19"/>
        <v>Week 4</v>
      </c>
      <c r="I429" s="2" t="str">
        <f t="shared" si="20"/>
        <v>Quarter 4</v>
      </c>
    </row>
    <row r="430" spans="1:9" x14ac:dyDescent="0.25">
      <c r="A430">
        <v>2000085692</v>
      </c>
      <c r="B430" t="s">
        <v>19</v>
      </c>
      <c r="C430" t="s">
        <v>10</v>
      </c>
      <c r="D430">
        <v>1677.86</v>
      </c>
      <c r="F430" s="3">
        <v>44127</v>
      </c>
      <c r="G430" s="2" t="str">
        <f t="shared" si="18"/>
        <v>October</v>
      </c>
      <c r="H430" s="2" t="str">
        <f t="shared" si="19"/>
        <v>Week 4</v>
      </c>
      <c r="I430" s="2" t="str">
        <f t="shared" si="20"/>
        <v>Quarter 4</v>
      </c>
    </row>
    <row r="431" spans="1:9" x14ac:dyDescent="0.25">
      <c r="A431">
        <v>2000085696</v>
      </c>
      <c r="B431" t="s">
        <v>19</v>
      </c>
      <c r="C431" t="s">
        <v>10</v>
      </c>
      <c r="D431">
        <v>37.65</v>
      </c>
      <c r="F431" s="3">
        <v>44127</v>
      </c>
      <c r="G431" s="2" t="str">
        <f t="shared" si="18"/>
        <v>October</v>
      </c>
      <c r="H431" s="2" t="str">
        <f t="shared" si="19"/>
        <v>Week 4</v>
      </c>
      <c r="I431" s="2" t="str">
        <f t="shared" si="20"/>
        <v>Quarter 4</v>
      </c>
    </row>
    <row r="432" spans="1:9" x14ac:dyDescent="0.25">
      <c r="A432">
        <v>2000085658</v>
      </c>
      <c r="B432" t="s">
        <v>19</v>
      </c>
      <c r="C432" t="s">
        <v>10</v>
      </c>
      <c r="D432">
        <v>347.8</v>
      </c>
      <c r="F432" s="3">
        <v>44127</v>
      </c>
      <c r="G432" s="2" t="str">
        <f t="shared" si="18"/>
        <v>October</v>
      </c>
      <c r="H432" s="2" t="str">
        <f t="shared" si="19"/>
        <v>Week 4</v>
      </c>
      <c r="I432" s="2" t="str">
        <f t="shared" si="20"/>
        <v>Quarter 4</v>
      </c>
    </row>
    <row r="433" spans="1:9" x14ac:dyDescent="0.25">
      <c r="A433">
        <v>2000085696</v>
      </c>
      <c r="B433" t="s">
        <v>19</v>
      </c>
      <c r="C433" t="s">
        <v>10</v>
      </c>
      <c r="D433">
        <v>12.3</v>
      </c>
      <c r="F433" s="3">
        <v>44127</v>
      </c>
      <c r="G433" s="2" t="str">
        <f t="shared" si="18"/>
        <v>October</v>
      </c>
      <c r="H433" s="2" t="str">
        <f t="shared" si="19"/>
        <v>Week 4</v>
      </c>
      <c r="I433" s="2" t="str">
        <f t="shared" si="20"/>
        <v>Quarter 4</v>
      </c>
    </row>
    <row r="434" spans="1:9" x14ac:dyDescent="0.25">
      <c r="A434">
        <v>2000085680</v>
      </c>
      <c r="B434" t="s">
        <v>19</v>
      </c>
      <c r="C434" t="s">
        <v>11</v>
      </c>
      <c r="D434">
        <v>60</v>
      </c>
      <c r="F434" s="3">
        <v>44127</v>
      </c>
      <c r="G434" s="2" t="str">
        <f t="shared" si="18"/>
        <v>October</v>
      </c>
      <c r="H434" s="2" t="str">
        <f t="shared" si="19"/>
        <v>Week 4</v>
      </c>
      <c r="I434" s="2" t="str">
        <f t="shared" si="20"/>
        <v>Quarter 4</v>
      </c>
    </row>
    <row r="435" spans="1:9" x14ac:dyDescent="0.25">
      <c r="A435">
        <v>2000085660</v>
      </c>
      <c r="B435" t="s">
        <v>19</v>
      </c>
      <c r="C435" t="s">
        <v>20</v>
      </c>
      <c r="D435">
        <v>139.94999999999999</v>
      </c>
      <c r="F435" s="3">
        <v>44127</v>
      </c>
      <c r="G435" s="2" t="str">
        <f t="shared" si="18"/>
        <v>October</v>
      </c>
      <c r="H435" s="2" t="str">
        <f t="shared" si="19"/>
        <v>Week 4</v>
      </c>
      <c r="I435" s="2" t="str">
        <f t="shared" si="20"/>
        <v>Quarter 4</v>
      </c>
    </row>
    <row r="436" spans="1:9" x14ac:dyDescent="0.25">
      <c r="A436">
        <v>2000085680</v>
      </c>
      <c r="B436" t="s">
        <v>19</v>
      </c>
      <c r="C436" t="s">
        <v>11</v>
      </c>
      <c r="D436">
        <v>14.3</v>
      </c>
      <c r="F436" s="3">
        <v>44127</v>
      </c>
      <c r="G436" s="2" t="str">
        <f t="shared" si="18"/>
        <v>October</v>
      </c>
      <c r="H436" s="2" t="str">
        <f t="shared" si="19"/>
        <v>Week 4</v>
      </c>
      <c r="I436" s="2" t="str">
        <f t="shared" si="20"/>
        <v>Quarter 4</v>
      </c>
    </row>
    <row r="437" spans="1:9" x14ac:dyDescent="0.25">
      <c r="A437">
        <v>2000085680</v>
      </c>
      <c r="B437" t="s">
        <v>19</v>
      </c>
      <c r="C437" t="s">
        <v>11</v>
      </c>
      <c r="D437">
        <v>2.17</v>
      </c>
      <c r="F437" s="3">
        <v>44127</v>
      </c>
      <c r="G437" s="2" t="str">
        <f t="shared" si="18"/>
        <v>October</v>
      </c>
      <c r="H437" s="2" t="str">
        <f t="shared" si="19"/>
        <v>Week 4</v>
      </c>
      <c r="I437" s="2" t="str">
        <f t="shared" si="20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2020-10-22T23:17:37Z</dcterms:modified>
</cp:coreProperties>
</file>