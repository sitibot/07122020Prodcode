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itibot\Desktop\POSMalaysia_MainFramework\DevCode_Reconcile_RPA\MACRO\"/>
    </mc:Choice>
  </mc:AlternateContent>
  <xr:revisionPtr revIDLastSave="0" documentId="13_ncr:1_{AA0103D0-E124-499E-878B-1C75B7E3C6AA}" xr6:coauthVersionLast="45" xr6:coauthVersionMax="45" xr10:uidLastSave="{00000000-0000-0000-0000-000000000000}"/>
  <bookViews>
    <workbookView xWindow="2340" yWindow="2340" windowWidth="18000" windowHeight="9360" xr2:uid="{7C17A896-D9F8-4801-A30D-7296FC704F99}"/>
  </bookViews>
  <sheets>
    <sheet name="Sheet1" sheetId="1" r:id="rId1"/>
    <sheet name="Sheet20" sheetId="58" r:id="rId2"/>
    <sheet name="Sheet21" sheetId="59" r:id="rId3"/>
    <sheet name="Sheet2" sheetId="60" r:id="rId4"/>
    <sheet name="SelectRadioButton" sheetId="27" r:id="rId5"/>
  </sheets>
  <definedNames>
    <definedName name="_xlnm._FilterDatabase" localSheetId="0" hidden="1">Sheet1!$A$1:$F$1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2" i="1"/>
</calcChain>
</file>

<file path=xl/sharedStrings.xml><?xml version="1.0" encoding="utf-8"?>
<sst xmlns="http://schemas.openxmlformats.org/spreadsheetml/2006/main" count="75" uniqueCount="37">
  <si>
    <t>Document Number</t>
  </si>
  <si>
    <t>G/L Account</t>
  </si>
  <si>
    <t>User Name</t>
  </si>
  <si>
    <t>Amount in local currency</t>
  </si>
  <si>
    <t>Document Header Text</t>
  </si>
  <si>
    <t>Date</t>
  </si>
  <si>
    <t>Month</t>
  </si>
  <si>
    <t>Week Number</t>
  </si>
  <si>
    <t>Quarter</t>
  </si>
  <si>
    <t>273114</t>
  </si>
  <si>
    <t>273115</t>
  </si>
  <si>
    <t>VA Acc</t>
  </si>
  <si>
    <t>Row Labels</t>
  </si>
  <si>
    <t>(blank)</t>
  </si>
  <si>
    <t>Grand Total</t>
  </si>
  <si>
    <t>Column Labels</t>
  </si>
  <si>
    <t>Count of Document Number</t>
  </si>
  <si>
    <t>(All)</t>
  </si>
  <si>
    <t>Week 2</t>
  </si>
  <si>
    <t>Week 4</t>
  </si>
  <si>
    <t>Week 5</t>
  </si>
  <si>
    <t>Sum of Amount in local currency</t>
  </si>
  <si>
    <t>SITIBOT</t>
  </si>
  <si>
    <t xml:space="preserve"> 54.65</t>
  </si>
  <si>
    <t xml:space="preserve"> 2000</t>
  </si>
  <si>
    <t xml:space="preserve"> 147.7</t>
  </si>
  <si>
    <t xml:space="preserve"> 318.89</t>
  </si>
  <si>
    <t xml:space="preserve"> 256.65</t>
  </si>
  <si>
    <t xml:space="preserve"> 99.45</t>
  </si>
  <si>
    <t xml:space="preserve"> 236.7</t>
  </si>
  <si>
    <t xml:space="preserve"> 27.2</t>
  </si>
  <si>
    <t xml:space="preserve"> 3319.55</t>
  </si>
  <si>
    <t>0100FIAR7009</t>
  </si>
  <si>
    <t xml:space="preserve"> 6.3</t>
  </si>
  <si>
    <t xml:space="preserve"> 18.95</t>
  </si>
  <si>
    <t xml:space="preserve"> 143.55</t>
  </si>
  <si>
    <t xml:space="preserve"> 12.65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</si>
</sst>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Border="0"/>
  </cellStyleXfs>
  <cellXfs count="11">
    <xf numFmtId="0" fontId="0" fillId="0" borderId="0" xfId="0"/>
    <xf numFmtId="0" fontId="0" fillId="0" borderId="0" xfId="0" applyNumberFormat="1" applyFill="1" applyAlignment="1" applyProtection="1"/>
    <xf numFmtId="14" fontId="0" fillId="0" borderId="0" xfId="0" applyNumberFormat="1" applyFill="1" applyAlignment="1" applyProtection="1"/>
    <xf numFmtId="1" fontId="0" fillId="0" borderId="0" xfId="0" applyNumberFormat="1" applyFill="1" applyAlignment="1" applyProtection="1"/>
    <xf numFmtId="22" fontId="0" fillId="0" borderId="0" xfId="0" applyNumberFormat="1" applyFill="1" applyAlignment="1" applyProtection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quotePrefix="1" applyNumberFormat="1" applyFill="1" applyAlignment="1" applyProtection="1"/>
  </cellXfs>
  <cellStyles count="2">
    <cellStyle name="Normal" xfId="0" builtinId="0"/>
    <cellStyle name="Normal 2" xfId="1" xr:uid="{FD58B098-AF1F-46E1-BE5D-7A5E6A550D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checked="Checked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3</xdr:row>
          <xdr:rowOff>47625</xdr:rowOff>
        </xdr:from>
        <xdr:to>
          <xdr:col>4</xdr:col>
          <xdr:colOff>47625</xdr:colOff>
          <xdr:row>4</xdr:row>
          <xdr:rowOff>114300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5</xdr:row>
          <xdr:rowOff>38100</xdr:rowOff>
        </xdr:from>
        <xdr:to>
          <xdr:col>3</xdr:col>
          <xdr:colOff>219075</xdr:colOff>
          <xdr:row>6</xdr:row>
          <xdr:rowOff>85725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7</xdr:row>
          <xdr:rowOff>47625</xdr:rowOff>
        </xdr:from>
        <xdr:to>
          <xdr:col>3</xdr:col>
          <xdr:colOff>219075</xdr:colOff>
          <xdr:row>8</xdr:row>
          <xdr:rowOff>85725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28575</xdr:rowOff>
        </xdr:from>
        <xdr:to>
          <xdr:col>3</xdr:col>
          <xdr:colOff>352425</xdr:colOff>
          <xdr:row>10</xdr:row>
          <xdr:rowOff>104775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</xdr:row>
          <xdr:rowOff>85725</xdr:rowOff>
        </xdr:from>
        <xdr:to>
          <xdr:col>5</xdr:col>
          <xdr:colOff>9525</xdr:colOff>
          <xdr:row>14</xdr:row>
          <xdr:rowOff>133350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47625</xdr:rowOff>
        </xdr:from>
        <xdr:to>
          <xdr:col>11</xdr:col>
          <xdr:colOff>47625</xdr:colOff>
          <xdr:row>4</xdr:row>
          <xdr:rowOff>114300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38100</xdr:rowOff>
        </xdr:from>
        <xdr:to>
          <xdr:col>10</xdr:col>
          <xdr:colOff>219075</xdr:colOff>
          <xdr:row>6</xdr:row>
          <xdr:rowOff>85725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4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7</xdr:row>
          <xdr:rowOff>47625</xdr:rowOff>
        </xdr:from>
        <xdr:to>
          <xdr:col>10</xdr:col>
          <xdr:colOff>219075</xdr:colOff>
          <xdr:row>8</xdr:row>
          <xdr:rowOff>85725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9</xdr:row>
          <xdr:rowOff>28575</xdr:rowOff>
        </xdr:from>
        <xdr:to>
          <xdr:col>10</xdr:col>
          <xdr:colOff>352425</xdr:colOff>
          <xdr:row>10</xdr:row>
          <xdr:rowOff>104775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</xdr:row>
          <xdr:rowOff>85725</xdr:rowOff>
        </xdr:from>
        <xdr:to>
          <xdr:col>11</xdr:col>
          <xdr:colOff>533400</xdr:colOff>
          <xdr:row>14</xdr:row>
          <xdr:rowOff>104775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66675</xdr:rowOff>
        </xdr:from>
        <xdr:to>
          <xdr:col>12</xdr:col>
          <xdr:colOff>514350</xdr:colOff>
          <xdr:row>16</xdr:row>
          <xdr:rowOff>28575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Account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180975</xdr:rowOff>
        </xdr:from>
        <xdr:to>
          <xdr:col>12</xdr:col>
          <xdr:colOff>19050</xdr:colOff>
          <xdr:row>32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4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User ID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19</xdr:row>
          <xdr:rowOff>66675</xdr:rowOff>
        </xdr:from>
        <xdr:to>
          <xdr:col>5</xdr:col>
          <xdr:colOff>161925</xdr:colOff>
          <xdr:row>21</xdr:row>
          <xdr:rowOff>95250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4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Report-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21</xdr:row>
          <xdr:rowOff>180975</xdr:rowOff>
        </xdr:from>
        <xdr:to>
          <xdr:col>4</xdr:col>
          <xdr:colOff>514350</xdr:colOff>
          <xdr:row>23</xdr:row>
          <xdr:rowOff>161925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4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24</xdr:row>
          <xdr:rowOff>85725</xdr:rowOff>
        </xdr:from>
        <xdr:to>
          <xdr:col>6</xdr:col>
          <xdr:colOff>47625</xdr:colOff>
          <xdr:row>25</xdr:row>
          <xdr:rowOff>142875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4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26</xdr:row>
          <xdr:rowOff>76200</xdr:rowOff>
        </xdr:from>
        <xdr:to>
          <xdr:col>5</xdr:col>
          <xdr:colOff>190500</xdr:colOff>
          <xdr:row>28</xdr:row>
          <xdr:rowOff>47625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4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</xdr:row>
          <xdr:rowOff>0</xdr:rowOff>
        </xdr:from>
        <xdr:to>
          <xdr:col>16</xdr:col>
          <xdr:colOff>542925</xdr:colOff>
          <xdr:row>5</xdr:row>
          <xdr:rowOff>85725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4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Click This to Add 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5</xdr:row>
          <xdr:rowOff>142875</xdr:rowOff>
        </xdr:from>
        <xdr:to>
          <xdr:col>16</xdr:col>
          <xdr:colOff>542925</xdr:colOff>
          <xdr:row>7</xdr:row>
          <xdr:rowOff>47625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4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Populate Week Month and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11</xdr:row>
          <xdr:rowOff>28575</xdr:rowOff>
        </xdr:from>
        <xdr:to>
          <xdr:col>3</xdr:col>
          <xdr:colOff>161925</xdr:colOff>
          <xdr:row>12</xdr:row>
          <xdr:rowOff>66675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4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28575</xdr:rowOff>
        </xdr:from>
        <xdr:to>
          <xdr:col>10</xdr:col>
          <xdr:colOff>285750</xdr:colOff>
          <xdr:row>12</xdr:row>
          <xdr:rowOff>66675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4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104775</xdr:rowOff>
        </xdr:from>
        <xdr:to>
          <xdr:col>5</xdr:col>
          <xdr:colOff>104775</xdr:colOff>
          <xdr:row>29</xdr:row>
          <xdr:rowOff>142875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4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19050</xdr:rowOff>
        </xdr:from>
        <xdr:to>
          <xdr:col>5</xdr:col>
          <xdr:colOff>600075</xdr:colOff>
          <xdr:row>31</xdr:row>
          <xdr:rowOff>104775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4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18</xdr:row>
          <xdr:rowOff>180975</xdr:rowOff>
        </xdr:from>
        <xdr:to>
          <xdr:col>11</xdr:col>
          <xdr:colOff>28575</xdr:colOff>
          <xdr:row>31</xdr:row>
          <xdr:rowOff>123825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4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20</xdr:row>
          <xdr:rowOff>66675</xdr:rowOff>
        </xdr:from>
        <xdr:to>
          <xdr:col>9</xdr:col>
          <xdr:colOff>457200</xdr:colOff>
          <xdr:row>21</xdr:row>
          <xdr:rowOff>104775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4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22</xdr:row>
          <xdr:rowOff>76200</xdr:rowOff>
        </xdr:from>
        <xdr:to>
          <xdr:col>9</xdr:col>
          <xdr:colOff>295275</xdr:colOff>
          <xdr:row>23</xdr:row>
          <xdr:rowOff>95250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4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24</xdr:row>
          <xdr:rowOff>66675</xdr:rowOff>
        </xdr:from>
        <xdr:to>
          <xdr:col>9</xdr:col>
          <xdr:colOff>409575</xdr:colOff>
          <xdr:row>25</xdr:row>
          <xdr:rowOff>104775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4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26</xdr:row>
          <xdr:rowOff>85725</xdr:rowOff>
        </xdr:from>
        <xdr:to>
          <xdr:col>9</xdr:col>
          <xdr:colOff>352425</xdr:colOff>
          <xdr:row>27</xdr:row>
          <xdr:rowOff>123825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4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28</xdr:row>
          <xdr:rowOff>66675</xdr:rowOff>
        </xdr:from>
        <xdr:to>
          <xdr:col>9</xdr:col>
          <xdr:colOff>409575</xdr:colOff>
          <xdr:row>29</xdr:row>
          <xdr:rowOff>104775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4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itriRasyidah" refreshedDate="44050.719199305553" createdVersion="6" refreshedVersion="6" minRefreshableVersion="3" recordCount="143" xr:uid="{051610DA-111A-4090-A84D-C64EC6347D1F}">
  <cacheSource type="worksheet">
    <worksheetSource ref="A1:I1048576" sheet="Sheet1"/>
  </cacheSource>
  <cacheFields count="9">
    <cacheField name="Document Number" numFmtId="0">
      <sharedItems containsBlank="1" containsMixedTypes="1" containsNumber="1" containsInteger="1" minValue="2000051130" maxValue="2800035598"/>
    </cacheField>
    <cacheField name="G/L Account" numFmtId="0">
      <sharedItems containsBlank="1" containsMixedTypes="1" containsNumber="1" containsInteger="1" minValue="273114" maxValue="273115" count="6">
        <n v="273114"/>
        <n v="273115"/>
        <m/>
        <s v="273114"/>
        <s v="273115"/>
        <s v="VA Acc"/>
      </sharedItems>
    </cacheField>
    <cacheField name="User Name" numFmtId="0">
      <sharedItems containsBlank="1"/>
    </cacheField>
    <cacheField name="Amount in local currency" numFmtId="0">
      <sharedItems containsString="0" containsBlank="1" containsNumber="1" minValue="-51607.82" maxValue="9139.85"/>
    </cacheField>
    <cacheField name="Document Header Text" numFmtId="0">
      <sharedItems containsNonDate="0" containsString="0" containsBlank="1"/>
    </cacheField>
    <cacheField name="Date" numFmtId="0">
      <sharedItems containsNonDate="0" containsDate="1" containsString="0" containsBlank="1" minDate="2020-01-22T00:00:00" maxDate="2020-08-07T17:14:36"/>
    </cacheField>
    <cacheField name="Month" numFmtId="0">
      <sharedItems containsBlank="1" count="4">
        <s v="July"/>
        <s v="January"/>
        <s v="August"/>
        <m/>
      </sharedItems>
    </cacheField>
    <cacheField name="Week Number" numFmtId="0">
      <sharedItems containsBlank="1" count="4">
        <s v="Week 4"/>
        <s v="Week 5"/>
        <s v="Week 2"/>
        <m/>
      </sharedItems>
    </cacheField>
    <cacheField name="Quarter" numFmtId="1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tiBot" refreshedDate="44082.496962268517" createdVersion="6" refreshedVersion="6" minRefreshableVersion="3" recordCount="20" xr:uid="{56CD6705-0151-446F-853D-E198BDDDB7D7}">
  <cacheSource type="worksheet">
    <worksheetSource ref="A1:H1048576" sheet="Sheet1"/>
  </cacheSource>
  <cacheFields count="8">
    <cacheField name="Document Number" numFmtId="0">
      <sharedItems containsString="0" containsBlank="1" containsNumber="1" containsInteger="1" minValue="2000000843" maxValue="2800000349"/>
    </cacheField>
    <cacheField name="G/L Account" numFmtId="0">
      <sharedItems containsBlank="1" containsMixedTypes="1" containsNumber="1" containsInteger="1" minValue="271151" maxValue="273116" count="5">
        <n v="271151"/>
        <n v="273114"/>
        <n v="273116"/>
        <m/>
        <s v="VA Acc"/>
      </sharedItems>
    </cacheField>
    <cacheField name="User Name" numFmtId="0">
      <sharedItems containsBlank="1"/>
    </cacheField>
    <cacheField name="Amount in local currency" numFmtId="0">
      <sharedItems containsString="0" containsBlank="1" containsNumber="1" minValue="-6642.24" maxValue="1250.3"/>
    </cacheField>
    <cacheField name="Document Header Text" numFmtId="0">
      <sharedItems containsNonDate="0" containsString="0" containsBlank="1"/>
    </cacheField>
    <cacheField name="Date" numFmtId="0">
      <sharedItems containsNonDate="0" containsDate="1" containsString="0" containsBlank="1" minDate="2020-09-08T00:00:00" maxDate="2020-09-09T00:00:00" count="2">
        <d v="2020-09-08T00:00:00"/>
        <m/>
      </sharedItems>
    </cacheField>
    <cacheField name="Month" numFmtId="0">
      <sharedItems containsBlank="1"/>
    </cacheField>
    <cacheField name="Week Numb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">
  <r>
    <n v="2800035368"/>
    <x v="0"/>
    <s v="0100FIAR7001"/>
    <n v="8174.1"/>
    <m/>
    <d v="2020-07-19T00:00:00"/>
    <x v="0"/>
    <x v="0"/>
    <s v="Quarter 3"/>
  </r>
  <r>
    <n v="2800035372"/>
    <x v="0"/>
    <s v="0100FIAR7001"/>
    <n v="561.85"/>
    <m/>
    <d v="2020-07-19T00:00:00"/>
    <x v="0"/>
    <x v="0"/>
    <s v="Quarter 3"/>
  </r>
  <r>
    <n v="2800035373"/>
    <x v="0"/>
    <s v="0100FIAR7001"/>
    <n v="68.8"/>
    <m/>
    <d v="2020-07-19T00:00:00"/>
    <x v="0"/>
    <x v="0"/>
    <s v="Quarter 3"/>
  </r>
  <r>
    <n v="2800035473"/>
    <x v="0"/>
    <s v="0100FIAR7001"/>
    <n v="223.15"/>
    <m/>
    <d v="2020-07-19T00:00:00"/>
    <x v="0"/>
    <x v="0"/>
    <s v="Quarter 3"/>
  </r>
  <r>
    <n v="2800035598"/>
    <x v="1"/>
    <s v="0100FIAR7001"/>
    <n v="111.95"/>
    <m/>
    <d v="2020-07-19T00:00:00"/>
    <x v="0"/>
    <x v="0"/>
    <s v="Quarter 3"/>
  </r>
  <r>
    <m/>
    <x v="2"/>
    <m/>
    <n v="9139.85"/>
    <m/>
    <d v="2020-07-19T00:00:00"/>
    <x v="0"/>
    <x v="0"/>
    <s v="Quarter 3"/>
  </r>
  <r>
    <n v="2800035368"/>
    <x v="0"/>
    <s v="0100FIAR7001"/>
    <n v="8174.1"/>
    <m/>
    <d v="2020-07-19T00:00:00"/>
    <x v="0"/>
    <x v="0"/>
    <s v="Quarter 3"/>
  </r>
  <r>
    <n v="2800035372"/>
    <x v="0"/>
    <s v="0100FIAR7001"/>
    <n v="561.85"/>
    <m/>
    <d v="2020-07-19T00:00:00"/>
    <x v="0"/>
    <x v="0"/>
    <s v="Quarter 3"/>
  </r>
  <r>
    <n v="2800035373"/>
    <x v="0"/>
    <s v="0100FIAR7001"/>
    <n v="68.8"/>
    <m/>
    <d v="2020-07-19T00:00:00"/>
    <x v="0"/>
    <x v="0"/>
    <s v="Quarter 3"/>
  </r>
  <r>
    <n v="2800035473"/>
    <x v="0"/>
    <s v="0100FIAR7001"/>
    <n v="223.15"/>
    <m/>
    <d v="2020-07-19T00:00:00"/>
    <x v="0"/>
    <x v="0"/>
    <s v="Quarter 3"/>
  </r>
  <r>
    <n v="2800035598"/>
    <x v="1"/>
    <s v="0100FIAR7001"/>
    <n v="111.95"/>
    <m/>
    <d v="2020-07-19T00:00:00"/>
    <x v="0"/>
    <x v="0"/>
    <s v="Quarter 3"/>
  </r>
  <r>
    <m/>
    <x v="2"/>
    <m/>
    <n v="9139.85"/>
    <m/>
    <d v="2020-07-19T00:00:00"/>
    <x v="0"/>
    <x v="0"/>
    <s v="Quarter 3"/>
  </r>
  <r>
    <n v="2800035368"/>
    <x v="0"/>
    <s v="0100FIAR7001"/>
    <n v="8174.1"/>
    <m/>
    <d v="2020-07-31T00:00:00"/>
    <x v="0"/>
    <x v="1"/>
    <s v="Quarter 3"/>
  </r>
  <r>
    <n v="2800035372"/>
    <x v="0"/>
    <s v="0100FIAR7001"/>
    <n v="561.85"/>
    <m/>
    <d v="2020-07-31T00:00:00"/>
    <x v="0"/>
    <x v="1"/>
    <s v="Quarter 3"/>
  </r>
  <r>
    <n v="2800035373"/>
    <x v="0"/>
    <s v="0100FIAR7001"/>
    <n v="68.8"/>
    <m/>
    <d v="2020-07-31T00:00:00"/>
    <x v="0"/>
    <x v="1"/>
    <s v="Quarter 3"/>
  </r>
  <r>
    <n v="2800035473"/>
    <x v="0"/>
    <s v="0100FIAR7001"/>
    <n v="223.15"/>
    <m/>
    <d v="2020-07-31T00:00:00"/>
    <x v="0"/>
    <x v="1"/>
    <s v="Quarter 3"/>
  </r>
  <r>
    <n v="2800035598"/>
    <x v="1"/>
    <s v="0100FIAR7001"/>
    <n v="111.95"/>
    <m/>
    <d v="2020-07-31T00:00:00"/>
    <x v="0"/>
    <x v="1"/>
    <s v="Quarter 3"/>
  </r>
  <r>
    <m/>
    <x v="2"/>
    <m/>
    <n v="9139.85"/>
    <m/>
    <d v="2020-07-31T00:00:00"/>
    <x v="0"/>
    <x v="1"/>
    <s v="Quarter 3"/>
  </r>
  <r>
    <n v="2800035368"/>
    <x v="0"/>
    <s v="0100FIAR7001"/>
    <n v="8174.1"/>
    <m/>
    <d v="2020-07-31T00:00:00"/>
    <x v="0"/>
    <x v="1"/>
    <s v="Quarter 3"/>
  </r>
  <r>
    <n v="2800035372"/>
    <x v="0"/>
    <s v="0100FIAR7001"/>
    <n v="561.85"/>
    <m/>
    <d v="2020-07-31T00:00:00"/>
    <x v="0"/>
    <x v="1"/>
    <s v="Quarter 3"/>
  </r>
  <r>
    <n v="2800035373"/>
    <x v="0"/>
    <s v="0100FIAR7001"/>
    <n v="68.8"/>
    <m/>
    <d v="2020-07-31T00:00:00"/>
    <x v="0"/>
    <x v="1"/>
    <s v="Quarter 3"/>
  </r>
  <r>
    <n v="2800035473"/>
    <x v="0"/>
    <s v="0100FIAR7001"/>
    <n v="223.15"/>
    <m/>
    <d v="2020-07-31T00:00:00"/>
    <x v="0"/>
    <x v="1"/>
    <s v="Quarter 3"/>
  </r>
  <r>
    <n v="2800035598"/>
    <x v="1"/>
    <s v="0100FIAR7001"/>
    <n v="111.95"/>
    <m/>
    <d v="2020-07-31T00:00:00"/>
    <x v="0"/>
    <x v="1"/>
    <s v="Quarter 3"/>
  </r>
  <r>
    <m/>
    <x v="2"/>
    <m/>
    <n v="9139.85"/>
    <m/>
    <d v="2020-07-31T00:00:00"/>
    <x v="0"/>
    <x v="1"/>
    <s v="Quarter 3"/>
  </r>
  <r>
    <n v="2800035368"/>
    <x v="0"/>
    <s v="0100FIAR7001"/>
    <n v="8174.1"/>
    <m/>
    <d v="2020-01-22T00:00:00"/>
    <x v="1"/>
    <x v="0"/>
    <s v="Quarter 1"/>
  </r>
  <r>
    <n v="2800035372"/>
    <x v="0"/>
    <s v="0100FIAR7001"/>
    <n v="561.85"/>
    <m/>
    <d v="2020-01-22T00:00:00"/>
    <x v="1"/>
    <x v="0"/>
    <s v="Quarter 1"/>
  </r>
  <r>
    <n v="2800035373"/>
    <x v="0"/>
    <s v="0100FIAR7001"/>
    <n v="68.8"/>
    <m/>
    <d v="2020-01-22T00:00:00"/>
    <x v="1"/>
    <x v="0"/>
    <s v="Quarter 1"/>
  </r>
  <r>
    <n v="2800035473"/>
    <x v="0"/>
    <s v="0100FIAR7001"/>
    <n v="223.15"/>
    <m/>
    <d v="2020-01-22T00:00:00"/>
    <x v="1"/>
    <x v="0"/>
    <s v="Quarter 1"/>
  </r>
  <r>
    <n v="2800035598"/>
    <x v="1"/>
    <s v="0100FIAR7001"/>
    <n v="111.95"/>
    <m/>
    <d v="2020-01-22T00:00:00"/>
    <x v="1"/>
    <x v="0"/>
    <s v="Quarter 1"/>
  </r>
  <r>
    <s v="2800035368"/>
    <x v="3"/>
    <s v="0100FIAR7001"/>
    <n v="8174.1"/>
    <m/>
    <d v="2020-08-07T17:14:36"/>
    <x v="2"/>
    <x v="2"/>
    <s v="Quarter 3"/>
  </r>
  <r>
    <s v="2800035372"/>
    <x v="3"/>
    <s v="0100FIAR7001"/>
    <n v="561.85"/>
    <m/>
    <d v="2020-08-07T17:14:36"/>
    <x v="2"/>
    <x v="2"/>
    <s v="Quarter 3"/>
  </r>
  <r>
    <s v="2800035373"/>
    <x v="3"/>
    <s v="0100FIAR7001"/>
    <n v="68.8"/>
    <m/>
    <d v="2020-08-07T17:14:36"/>
    <x v="2"/>
    <x v="2"/>
    <s v="Quarter 3"/>
  </r>
  <r>
    <s v="2800035473"/>
    <x v="3"/>
    <s v="0100FIAR7001"/>
    <n v="223.15"/>
    <m/>
    <d v="2020-08-07T17:14:36"/>
    <x v="2"/>
    <x v="2"/>
    <s v="Quarter 3"/>
  </r>
  <r>
    <s v="2800035598"/>
    <x v="4"/>
    <s v="0100FIAR7001"/>
    <n v="111.95"/>
    <m/>
    <d v="2020-08-07T17:14:36"/>
    <x v="2"/>
    <x v="2"/>
    <s v="Quarter 3"/>
  </r>
  <r>
    <m/>
    <x v="2"/>
    <m/>
    <n v="9139.85"/>
    <m/>
    <d v="2020-08-07T17:14:36"/>
    <x v="2"/>
    <x v="2"/>
    <s v="Quarter 3"/>
  </r>
  <r>
    <n v="2000051411"/>
    <x v="5"/>
    <s v="0100FIAR7007"/>
    <n v="-18.899999999999999"/>
    <m/>
    <d v="2020-08-07T17:14:36"/>
    <x v="2"/>
    <x v="2"/>
    <s v="Quarter 3"/>
  </r>
  <r>
    <n v="2000051412"/>
    <x v="5"/>
    <s v="0100FIAR7007"/>
    <n v="-61.3"/>
    <m/>
    <d v="2020-08-07T17:14:36"/>
    <x v="2"/>
    <x v="2"/>
    <s v="Quarter 3"/>
  </r>
  <r>
    <n v="2000051397"/>
    <x v="5"/>
    <s v="0100FIAR7007"/>
    <n v="-284.3"/>
    <m/>
    <d v="2020-08-07T17:14:36"/>
    <x v="2"/>
    <x v="2"/>
    <s v="Quarter 3"/>
  </r>
  <r>
    <n v="2000051398"/>
    <x v="5"/>
    <s v="0100FIAR7007"/>
    <n v="-27.65"/>
    <m/>
    <d v="2020-08-07T17:14:36"/>
    <x v="2"/>
    <x v="2"/>
    <s v="Quarter 3"/>
  </r>
  <r>
    <n v="2000051399"/>
    <x v="5"/>
    <s v="0100FIAR7007"/>
    <n v="-1034.3499999999999"/>
    <m/>
    <d v="2020-08-07T17:14:36"/>
    <x v="2"/>
    <x v="2"/>
    <s v="Quarter 3"/>
  </r>
  <r>
    <n v="2000051400"/>
    <x v="5"/>
    <s v="0100FIAR7007"/>
    <n v="-229.55"/>
    <m/>
    <d v="2020-08-07T17:14:36"/>
    <x v="2"/>
    <x v="2"/>
    <s v="Quarter 3"/>
  </r>
  <r>
    <n v="2000051401"/>
    <x v="5"/>
    <s v="0100FIAR7007"/>
    <n v="-210.2"/>
    <m/>
    <d v="2020-08-07T17:14:36"/>
    <x v="2"/>
    <x v="2"/>
    <s v="Quarter 3"/>
  </r>
  <r>
    <n v="2000051402"/>
    <x v="5"/>
    <s v="0100FIAR7007"/>
    <n v="-62"/>
    <m/>
    <d v="2020-08-07T17:14:36"/>
    <x v="2"/>
    <x v="2"/>
    <s v="Quarter 3"/>
  </r>
  <r>
    <n v="2000051403"/>
    <x v="5"/>
    <s v="0100FIAR7007"/>
    <n v="-618.25"/>
    <m/>
    <d v="2020-08-07T17:14:36"/>
    <x v="2"/>
    <x v="2"/>
    <s v="Quarter 3"/>
  </r>
  <r>
    <n v="2000051406"/>
    <x v="5"/>
    <s v="0100FIAR7007"/>
    <n v="-201.55"/>
    <m/>
    <d v="2020-08-07T17:14:36"/>
    <x v="2"/>
    <x v="2"/>
    <s v="Quarter 3"/>
  </r>
  <r>
    <n v="2000051407"/>
    <x v="5"/>
    <s v="0100FIAR7007"/>
    <n v="-266.5"/>
    <m/>
    <d v="2020-08-07T17:14:36"/>
    <x v="2"/>
    <x v="2"/>
    <s v="Quarter 3"/>
  </r>
  <r>
    <n v="2000051407"/>
    <x v="5"/>
    <s v="0100FIAR7007"/>
    <n v="-230.5"/>
    <m/>
    <d v="2020-08-07T17:14:36"/>
    <x v="2"/>
    <x v="2"/>
    <s v="Quarter 3"/>
  </r>
  <r>
    <n v="2000051408"/>
    <x v="5"/>
    <s v="0100FIAR7007"/>
    <n v="-15.4"/>
    <m/>
    <d v="2020-08-07T17:14:36"/>
    <x v="2"/>
    <x v="2"/>
    <s v="Quarter 3"/>
  </r>
  <r>
    <n v="2000051409"/>
    <x v="5"/>
    <s v="0100FIAR7007"/>
    <n v="-74.2"/>
    <m/>
    <d v="2020-08-07T17:14:36"/>
    <x v="2"/>
    <x v="2"/>
    <s v="Quarter 3"/>
  </r>
  <r>
    <n v="2000051410"/>
    <x v="5"/>
    <s v="0100FIAR7007"/>
    <n v="-909.14"/>
    <m/>
    <d v="2020-08-07T17:14:36"/>
    <x v="2"/>
    <x v="2"/>
    <s v="Quarter 3"/>
  </r>
  <r>
    <n v="2000051175"/>
    <x v="5"/>
    <s v="0104FIAC7005"/>
    <n v="-115.4"/>
    <m/>
    <d v="2020-08-07T17:14:36"/>
    <x v="2"/>
    <x v="2"/>
    <s v="Quarter 3"/>
  </r>
  <r>
    <n v="2000051543"/>
    <x v="5"/>
    <s v="0100FIAR3004"/>
    <n v="-6.3"/>
    <m/>
    <d v="2020-08-07T17:14:36"/>
    <x v="2"/>
    <x v="2"/>
    <s v="Quarter 3"/>
  </r>
  <r>
    <n v="2000051245"/>
    <x v="5"/>
    <s v="0104FIAC7005"/>
    <n v="-12.65"/>
    <m/>
    <d v="2020-08-07T17:14:36"/>
    <x v="2"/>
    <x v="2"/>
    <s v="Quarter 3"/>
  </r>
  <r>
    <n v="2000051171"/>
    <x v="5"/>
    <s v="0112FIAC7003"/>
    <n v="-700.4"/>
    <m/>
    <d v="2020-08-07T17:14:36"/>
    <x v="2"/>
    <x v="2"/>
    <s v="Quarter 3"/>
  </r>
  <r>
    <n v="2000051415"/>
    <x v="5"/>
    <s v="0100FIAR7007"/>
    <n v="-277.7"/>
    <m/>
    <d v="2020-08-07T17:14:36"/>
    <x v="2"/>
    <x v="2"/>
    <s v="Quarter 3"/>
  </r>
  <r>
    <n v="2000051416"/>
    <x v="5"/>
    <s v="0100FIAR7007"/>
    <n v="-62.35"/>
    <m/>
    <d v="2020-08-07T17:14:36"/>
    <x v="2"/>
    <x v="2"/>
    <s v="Quarter 3"/>
  </r>
  <r>
    <n v="2000051417"/>
    <x v="5"/>
    <s v="0100FIAR7007"/>
    <n v="-256.2"/>
    <m/>
    <d v="2020-08-07T17:14:36"/>
    <x v="2"/>
    <x v="2"/>
    <s v="Quarter 3"/>
  </r>
  <r>
    <n v="2000051418"/>
    <x v="5"/>
    <s v="0100FIAR7007"/>
    <n v="-331.85"/>
    <m/>
    <d v="2020-08-07T17:14:36"/>
    <x v="2"/>
    <x v="2"/>
    <s v="Quarter 3"/>
  </r>
  <r>
    <n v="2000051321"/>
    <x v="5"/>
    <s v="0103FIAC7010"/>
    <n v="-56.84"/>
    <m/>
    <d v="2020-08-07T17:14:36"/>
    <x v="2"/>
    <x v="2"/>
    <s v="Quarter 3"/>
  </r>
  <r>
    <n v="2000051419"/>
    <x v="5"/>
    <s v="0100FIAR7007"/>
    <n v="-388.25"/>
    <m/>
    <d v="2020-08-07T17:14:36"/>
    <x v="2"/>
    <x v="2"/>
    <s v="Quarter 3"/>
  </r>
  <r>
    <n v="2000051420"/>
    <x v="5"/>
    <s v="0100FIAR7007"/>
    <n v="-80"/>
    <m/>
    <d v="2020-08-07T17:14:36"/>
    <x v="2"/>
    <x v="2"/>
    <s v="Quarter 3"/>
  </r>
  <r>
    <n v="2000051421"/>
    <x v="5"/>
    <s v="0100FIAR7007"/>
    <n v="-572.04999999999995"/>
    <m/>
    <d v="2020-08-07T17:14:36"/>
    <x v="2"/>
    <x v="2"/>
    <s v="Quarter 3"/>
  </r>
  <r>
    <n v="2000051422"/>
    <x v="5"/>
    <s v="0100FIAR7007"/>
    <n v="-1174.75"/>
    <m/>
    <d v="2020-08-07T17:14:36"/>
    <x v="2"/>
    <x v="2"/>
    <s v="Quarter 3"/>
  </r>
  <r>
    <n v="2000051423"/>
    <x v="5"/>
    <s v="0100FIAR7007"/>
    <n v="-1469.4"/>
    <m/>
    <d v="2020-08-07T17:14:36"/>
    <x v="2"/>
    <x v="2"/>
    <s v="Quarter 3"/>
  </r>
  <r>
    <n v="2000051424"/>
    <x v="5"/>
    <s v="0100FIAR7007"/>
    <n v="-753.25"/>
    <m/>
    <d v="2020-08-07T17:14:36"/>
    <x v="2"/>
    <x v="2"/>
    <s v="Quarter 3"/>
  </r>
  <r>
    <n v="2000051425"/>
    <x v="5"/>
    <s v="0100FIAR7007"/>
    <n v="-388.5"/>
    <m/>
    <d v="2020-08-07T17:14:36"/>
    <x v="2"/>
    <x v="2"/>
    <s v="Quarter 3"/>
  </r>
  <r>
    <n v="2000051425"/>
    <x v="5"/>
    <s v="0100FIAR7007"/>
    <n v="-118.05"/>
    <m/>
    <d v="2020-08-07T17:14:36"/>
    <x v="2"/>
    <x v="2"/>
    <s v="Quarter 3"/>
  </r>
  <r>
    <n v="2000051426"/>
    <x v="5"/>
    <s v="0100FIAR7007"/>
    <n v="-31.6"/>
    <m/>
    <d v="2020-08-07T17:14:36"/>
    <x v="2"/>
    <x v="2"/>
    <s v="Quarter 3"/>
  </r>
  <r>
    <n v="2000051427"/>
    <x v="5"/>
    <s v="0100FIAR7007"/>
    <n v="-60.05"/>
    <m/>
    <d v="2020-08-07T17:14:36"/>
    <x v="2"/>
    <x v="2"/>
    <s v="Quarter 3"/>
  </r>
  <r>
    <n v="2000051428"/>
    <x v="5"/>
    <s v="0100FIAR7007"/>
    <n v="-199.3"/>
    <m/>
    <d v="2020-08-07T17:14:36"/>
    <x v="2"/>
    <x v="2"/>
    <s v="Quarter 3"/>
  </r>
  <r>
    <n v="2000051429"/>
    <x v="5"/>
    <s v="0100FIAR7007"/>
    <n v="-77.400000000000006"/>
    <m/>
    <d v="2020-08-07T17:14:36"/>
    <x v="2"/>
    <x v="2"/>
    <s v="Quarter 3"/>
  </r>
  <r>
    <n v="2000051281"/>
    <x v="5"/>
    <s v="0114FIAC7007"/>
    <n v="-41.9"/>
    <m/>
    <d v="2020-08-07T17:14:36"/>
    <x v="2"/>
    <x v="2"/>
    <s v="Quarter 3"/>
  </r>
  <r>
    <n v="2000051430"/>
    <x v="5"/>
    <s v="0100FIAR7007"/>
    <n v="-102.3"/>
    <m/>
    <d v="2020-08-07T17:14:36"/>
    <x v="2"/>
    <x v="2"/>
    <s v="Quarter 3"/>
  </r>
  <r>
    <n v="2000051334"/>
    <x v="5"/>
    <s v="0114FIAC7007"/>
    <n v="-57.3"/>
    <m/>
    <d v="2020-08-07T17:14:36"/>
    <x v="2"/>
    <x v="2"/>
    <s v="Quarter 3"/>
  </r>
  <r>
    <n v="2000051169"/>
    <x v="5"/>
    <s v="0104FIAC7005"/>
    <n v="-204.7"/>
    <m/>
    <d v="2020-08-07T17:14:36"/>
    <x v="2"/>
    <x v="2"/>
    <s v="Quarter 3"/>
  </r>
  <r>
    <n v="2000051332"/>
    <x v="5"/>
    <s v="0114FIAC7007"/>
    <n v="-358.65"/>
    <m/>
    <d v="2020-08-07T17:14:36"/>
    <x v="2"/>
    <x v="2"/>
    <s v="Quarter 3"/>
  </r>
  <r>
    <n v="2000051431"/>
    <x v="5"/>
    <s v="0100FIAR7007"/>
    <n v="-56.45"/>
    <m/>
    <d v="2020-08-07T17:14:36"/>
    <x v="2"/>
    <x v="2"/>
    <s v="Quarter 3"/>
  </r>
  <r>
    <n v="2000051432"/>
    <x v="5"/>
    <s v="0100FIAR7007"/>
    <n v="-211.3"/>
    <m/>
    <d v="2020-08-07T17:14:36"/>
    <x v="2"/>
    <x v="2"/>
    <s v="Quarter 3"/>
  </r>
  <r>
    <n v="2000051433"/>
    <x v="5"/>
    <s v="0100FIAR7007"/>
    <n v="-2748.2"/>
    <m/>
    <d v="2020-08-07T17:14:36"/>
    <x v="2"/>
    <x v="2"/>
    <s v="Quarter 3"/>
  </r>
  <r>
    <n v="2000051434"/>
    <x v="5"/>
    <s v="0100FIAR7007"/>
    <n v="-140.35"/>
    <m/>
    <d v="2020-08-07T17:14:36"/>
    <x v="2"/>
    <x v="2"/>
    <s v="Quarter 3"/>
  </r>
  <r>
    <n v="2000051435"/>
    <x v="5"/>
    <s v="0100FIAR7007"/>
    <n v="-152.30000000000001"/>
    <m/>
    <d v="2020-08-07T17:14:36"/>
    <x v="2"/>
    <x v="2"/>
    <s v="Quarter 3"/>
  </r>
  <r>
    <n v="2000051437"/>
    <x v="5"/>
    <s v="0100FIAR7007"/>
    <n v="-303.7"/>
    <m/>
    <d v="2020-08-07T17:14:36"/>
    <x v="2"/>
    <x v="2"/>
    <s v="Quarter 3"/>
  </r>
  <r>
    <n v="2000051438"/>
    <x v="5"/>
    <s v="0100FIAR7007"/>
    <n v="-44.2"/>
    <m/>
    <d v="2020-08-07T17:14:36"/>
    <x v="2"/>
    <x v="2"/>
    <s v="Quarter 3"/>
  </r>
  <r>
    <n v="2000051439"/>
    <x v="5"/>
    <s v="0100FIAR7007"/>
    <n v="-399.05"/>
    <m/>
    <d v="2020-08-07T17:14:36"/>
    <x v="2"/>
    <x v="2"/>
    <s v="Quarter 3"/>
  </r>
  <r>
    <n v="2000051439"/>
    <x v="5"/>
    <s v="0100FIAR7007"/>
    <n v="-497.85"/>
    <m/>
    <d v="2020-08-07T17:14:36"/>
    <x v="2"/>
    <x v="2"/>
    <s v="Quarter 3"/>
  </r>
  <r>
    <n v="2000051440"/>
    <x v="5"/>
    <s v="0100FIAR7007"/>
    <n v="-236.2"/>
    <m/>
    <d v="2020-08-07T17:14:36"/>
    <x v="2"/>
    <x v="2"/>
    <s v="Quarter 3"/>
  </r>
  <r>
    <n v="2000051441"/>
    <x v="5"/>
    <s v="0100FIAR7007"/>
    <n v="-181.9"/>
    <m/>
    <d v="2020-08-07T17:14:36"/>
    <x v="2"/>
    <x v="2"/>
    <s v="Quarter 3"/>
  </r>
  <r>
    <n v="2000051442"/>
    <x v="5"/>
    <s v="0100FIAR7007"/>
    <n v="-217.15"/>
    <m/>
    <d v="2020-08-07T17:14:36"/>
    <x v="2"/>
    <x v="2"/>
    <s v="Quarter 3"/>
  </r>
  <r>
    <n v="2000051443"/>
    <x v="5"/>
    <s v="0100FIAR7007"/>
    <n v="-163.25"/>
    <m/>
    <d v="2020-08-07T17:14:36"/>
    <x v="2"/>
    <x v="2"/>
    <s v="Quarter 3"/>
  </r>
  <r>
    <n v="2000051444"/>
    <x v="5"/>
    <s v="0100FIAR7007"/>
    <n v="-83.7"/>
    <m/>
    <d v="2020-08-07T17:14:36"/>
    <x v="2"/>
    <x v="2"/>
    <s v="Quarter 3"/>
  </r>
  <r>
    <n v="2000051445"/>
    <x v="5"/>
    <s v="0100FIAR7007"/>
    <n v="-163.19999999999999"/>
    <m/>
    <d v="2020-08-07T17:14:36"/>
    <x v="2"/>
    <x v="2"/>
    <s v="Quarter 3"/>
  </r>
  <r>
    <n v="2000051446"/>
    <x v="5"/>
    <s v="0100FIAR7007"/>
    <n v="-1531.2"/>
    <m/>
    <d v="2020-08-07T17:14:36"/>
    <x v="2"/>
    <x v="2"/>
    <s v="Quarter 3"/>
  </r>
  <r>
    <n v="2000051447"/>
    <x v="5"/>
    <s v="0100FIAR7007"/>
    <n v="-306.55"/>
    <m/>
    <d v="2020-08-07T17:14:36"/>
    <x v="2"/>
    <x v="2"/>
    <s v="Quarter 3"/>
  </r>
  <r>
    <n v="2000051448"/>
    <x v="5"/>
    <s v="0100FIAR7007"/>
    <n v="-82.5"/>
    <m/>
    <d v="2020-08-07T17:14:36"/>
    <x v="2"/>
    <x v="2"/>
    <s v="Quarter 3"/>
  </r>
  <r>
    <n v="2000051449"/>
    <x v="5"/>
    <s v="0100FIAR7007"/>
    <n v="-45.15"/>
    <m/>
    <d v="2020-08-07T17:14:36"/>
    <x v="2"/>
    <x v="2"/>
    <s v="Quarter 3"/>
  </r>
  <r>
    <n v="2000051450"/>
    <x v="5"/>
    <s v="0100FIAR7007"/>
    <n v="-103.75"/>
    <m/>
    <d v="2020-08-07T17:14:36"/>
    <x v="2"/>
    <x v="2"/>
    <s v="Quarter 3"/>
  </r>
  <r>
    <n v="2000051451"/>
    <x v="5"/>
    <s v="0100FIAR7007"/>
    <n v="-44.1"/>
    <m/>
    <d v="2020-08-07T17:14:36"/>
    <x v="2"/>
    <x v="2"/>
    <s v="Quarter 3"/>
  </r>
  <r>
    <n v="2000051452"/>
    <x v="5"/>
    <s v="0100FIAR7007"/>
    <n v="-144.9"/>
    <m/>
    <d v="2020-08-07T17:14:36"/>
    <x v="2"/>
    <x v="2"/>
    <s v="Quarter 3"/>
  </r>
  <r>
    <n v="2000051453"/>
    <x v="5"/>
    <s v="0100FIAR7007"/>
    <n v="-194.2"/>
    <m/>
    <d v="2020-08-07T17:14:36"/>
    <x v="2"/>
    <x v="2"/>
    <s v="Quarter 3"/>
  </r>
  <r>
    <n v="2000051454"/>
    <x v="5"/>
    <s v="0100FIAR7007"/>
    <n v="-6882.7"/>
    <m/>
    <d v="2020-08-07T17:14:36"/>
    <x v="2"/>
    <x v="2"/>
    <s v="Quarter 3"/>
  </r>
  <r>
    <n v="2000051455"/>
    <x v="5"/>
    <s v="0100FIAR7007"/>
    <n v="-115.55"/>
    <m/>
    <d v="2020-08-07T17:14:36"/>
    <x v="2"/>
    <x v="2"/>
    <s v="Quarter 3"/>
  </r>
  <r>
    <n v="2000051456"/>
    <x v="5"/>
    <s v="0100FIAR7007"/>
    <n v="-5254.1"/>
    <m/>
    <d v="2020-08-07T17:14:36"/>
    <x v="2"/>
    <x v="2"/>
    <s v="Quarter 3"/>
  </r>
  <r>
    <n v="2000051457"/>
    <x v="5"/>
    <s v="0100FIAR7007"/>
    <n v="-223.25"/>
    <m/>
    <d v="2020-08-07T17:14:36"/>
    <x v="2"/>
    <x v="2"/>
    <s v="Quarter 3"/>
  </r>
  <r>
    <n v="2000051458"/>
    <x v="5"/>
    <s v="0100FIAR7007"/>
    <n v="-236.3"/>
    <m/>
    <d v="2020-08-07T17:14:36"/>
    <x v="2"/>
    <x v="2"/>
    <s v="Quarter 3"/>
  </r>
  <r>
    <n v="2000051459"/>
    <x v="5"/>
    <s v="0100FIAR7007"/>
    <n v="-202.6"/>
    <m/>
    <d v="2020-08-07T17:14:36"/>
    <x v="2"/>
    <x v="2"/>
    <s v="Quarter 3"/>
  </r>
  <r>
    <n v="2000051460"/>
    <x v="5"/>
    <s v="0100FIAR7007"/>
    <n v="-219.75"/>
    <m/>
    <d v="2020-08-07T17:14:36"/>
    <x v="2"/>
    <x v="2"/>
    <s v="Quarter 3"/>
  </r>
  <r>
    <n v="2000051464"/>
    <x v="5"/>
    <s v="0100FIAR7007"/>
    <n v="-68.75"/>
    <m/>
    <d v="2020-08-07T17:14:36"/>
    <x v="2"/>
    <x v="2"/>
    <s v="Quarter 3"/>
  </r>
  <r>
    <n v="2000051465"/>
    <x v="5"/>
    <s v="0100FIAR7007"/>
    <n v="-381.3"/>
    <m/>
    <d v="2020-08-07T17:14:36"/>
    <x v="2"/>
    <x v="2"/>
    <s v="Quarter 3"/>
  </r>
  <r>
    <n v="2000051466"/>
    <x v="5"/>
    <s v="0100FIAR7007"/>
    <n v="-263.10000000000002"/>
    <m/>
    <d v="2020-08-07T17:14:36"/>
    <x v="2"/>
    <x v="2"/>
    <s v="Quarter 3"/>
  </r>
  <r>
    <n v="2000051467"/>
    <x v="5"/>
    <s v="0100FIAR7007"/>
    <n v="-31.55"/>
    <m/>
    <d v="2020-08-07T17:14:36"/>
    <x v="2"/>
    <x v="2"/>
    <s v="Quarter 3"/>
  </r>
  <r>
    <n v="2000051468"/>
    <x v="5"/>
    <s v="0100FIAR7007"/>
    <n v="-235.5"/>
    <m/>
    <d v="2020-08-07T17:14:36"/>
    <x v="2"/>
    <x v="2"/>
    <s v="Quarter 3"/>
  </r>
  <r>
    <n v="2000051469"/>
    <x v="5"/>
    <s v="0100FIAR7007"/>
    <n v="-221.55"/>
    <m/>
    <d v="2020-08-07T17:14:36"/>
    <x v="2"/>
    <x v="2"/>
    <s v="Quarter 3"/>
  </r>
  <r>
    <n v="2000051470"/>
    <x v="5"/>
    <s v="0100FIAR7007"/>
    <n v="-70.599999999999994"/>
    <m/>
    <d v="2020-08-07T17:14:36"/>
    <x v="2"/>
    <x v="2"/>
    <s v="Quarter 3"/>
  </r>
  <r>
    <n v="2000051471"/>
    <x v="5"/>
    <s v="0100FIAR7007"/>
    <n v="-425.9"/>
    <m/>
    <d v="2020-08-07T17:14:36"/>
    <x v="2"/>
    <x v="2"/>
    <s v="Quarter 3"/>
  </r>
  <r>
    <n v="2000051472"/>
    <x v="5"/>
    <s v="0100FIAR7007"/>
    <n v="-123.83"/>
    <m/>
    <d v="2020-08-07T17:14:36"/>
    <x v="2"/>
    <x v="2"/>
    <s v="Quarter 3"/>
  </r>
  <r>
    <n v="2000051473"/>
    <x v="5"/>
    <s v="0100FIAR7007"/>
    <n v="-110.95"/>
    <m/>
    <d v="2020-08-07T17:14:36"/>
    <x v="2"/>
    <x v="2"/>
    <s v="Quarter 3"/>
  </r>
  <r>
    <n v="2000051474"/>
    <x v="5"/>
    <s v="0100FIAR7007"/>
    <n v="-74.3"/>
    <m/>
    <d v="2020-08-07T17:14:36"/>
    <x v="2"/>
    <x v="2"/>
    <s v="Quarter 3"/>
  </r>
  <r>
    <n v="2000051475"/>
    <x v="5"/>
    <s v="0100FIAR7007"/>
    <n v="-58.05"/>
    <m/>
    <d v="2020-08-07T17:14:36"/>
    <x v="2"/>
    <x v="2"/>
    <s v="Quarter 3"/>
  </r>
  <r>
    <n v="2000051476"/>
    <x v="5"/>
    <s v="0100FIAR7007"/>
    <n v="-44.25"/>
    <m/>
    <d v="2020-08-07T17:14:36"/>
    <x v="2"/>
    <x v="2"/>
    <s v="Quarter 3"/>
  </r>
  <r>
    <n v="2000051477"/>
    <x v="5"/>
    <s v="0100FIAR7007"/>
    <n v="-543.70000000000005"/>
    <m/>
    <d v="2020-08-07T17:14:36"/>
    <x v="2"/>
    <x v="2"/>
    <s v="Quarter 3"/>
  </r>
  <r>
    <n v="2000051478"/>
    <x v="5"/>
    <s v="0100FIAR7007"/>
    <n v="-32.5"/>
    <m/>
    <d v="2020-08-07T17:14:36"/>
    <x v="2"/>
    <x v="2"/>
    <s v="Quarter 3"/>
  </r>
  <r>
    <n v="2000051479"/>
    <x v="5"/>
    <s v="0100FIAR7007"/>
    <n v="-12824.3"/>
    <m/>
    <d v="2020-08-07T17:14:36"/>
    <x v="2"/>
    <x v="2"/>
    <s v="Quarter 3"/>
  </r>
  <r>
    <n v="2000051480"/>
    <x v="5"/>
    <s v="0100FIAR7007"/>
    <n v="-366.4"/>
    <m/>
    <d v="2020-08-07T17:14:36"/>
    <x v="2"/>
    <x v="2"/>
    <s v="Quarter 3"/>
  </r>
  <r>
    <n v="2000051481"/>
    <x v="5"/>
    <s v="0100FIAR7007"/>
    <n v="-327.25"/>
    <m/>
    <d v="2020-08-07T17:14:36"/>
    <x v="2"/>
    <x v="2"/>
    <s v="Quarter 3"/>
  </r>
  <r>
    <n v="2000051483"/>
    <x v="5"/>
    <s v="0100FIAR7007"/>
    <n v="-333.75"/>
    <m/>
    <d v="2020-08-07T17:14:36"/>
    <x v="2"/>
    <x v="2"/>
    <s v="Quarter 3"/>
  </r>
  <r>
    <n v="2000051327"/>
    <x v="5"/>
    <s v="0100FIAR3006"/>
    <n v="-317.14999999999998"/>
    <m/>
    <d v="2020-08-07T17:14:36"/>
    <x v="2"/>
    <x v="2"/>
    <s v="Quarter 3"/>
  </r>
  <r>
    <n v="2000051329"/>
    <x v="5"/>
    <s v="0100FIAR3006"/>
    <n v="-246.75"/>
    <m/>
    <d v="2020-08-07T17:14:36"/>
    <x v="2"/>
    <x v="2"/>
    <s v="Quarter 3"/>
  </r>
  <r>
    <n v="2000051331"/>
    <x v="5"/>
    <s v="0100FIAR3006"/>
    <n v="-10.25"/>
    <m/>
    <d v="2020-08-07T17:14:36"/>
    <x v="2"/>
    <x v="2"/>
    <s v="Quarter 3"/>
  </r>
  <r>
    <n v="2000051325"/>
    <x v="5"/>
    <s v="0114FIAC7007"/>
    <n v="-42.4"/>
    <m/>
    <d v="2020-08-07T17:14:36"/>
    <x v="2"/>
    <x v="2"/>
    <s v="Quarter 3"/>
  </r>
  <r>
    <n v="2000051131"/>
    <x v="5"/>
    <s v="0109FIAC7006"/>
    <n v="-9"/>
    <m/>
    <d v="2020-08-07T17:14:36"/>
    <x v="2"/>
    <x v="2"/>
    <s v="Quarter 3"/>
  </r>
  <r>
    <n v="2000051462"/>
    <x v="5"/>
    <s v="0114FIAC7007"/>
    <n v="-101.4"/>
    <m/>
    <d v="2020-08-07T17:14:36"/>
    <x v="2"/>
    <x v="2"/>
    <s v="Quarter 3"/>
  </r>
  <r>
    <n v="2000051170"/>
    <x v="5"/>
    <s v="0103FIAC7010"/>
    <n v="-52.26"/>
    <m/>
    <d v="2020-08-07T17:14:36"/>
    <x v="2"/>
    <x v="2"/>
    <s v="Quarter 3"/>
  </r>
  <r>
    <n v="2000051404"/>
    <x v="5"/>
    <s v="0103FIAC7010"/>
    <n v="-284.14999999999998"/>
    <m/>
    <d v="2020-08-07T17:14:36"/>
    <x v="2"/>
    <x v="2"/>
    <s v="Quarter 3"/>
  </r>
  <r>
    <n v="2000051326"/>
    <x v="5"/>
    <s v="0104FIAC7005"/>
    <n v="-31.6"/>
    <m/>
    <d v="2020-08-07T17:14:36"/>
    <x v="2"/>
    <x v="2"/>
    <s v="Quarter 3"/>
  </r>
  <r>
    <n v="2000051130"/>
    <x v="5"/>
    <s v="0104FIAC7005"/>
    <n v="-68.45"/>
    <m/>
    <d v="2020-08-07T17:14:36"/>
    <x v="2"/>
    <x v="2"/>
    <s v="Quarter 3"/>
  </r>
  <r>
    <n v="2000051665"/>
    <x v="5"/>
    <s v="0102FIAC7006"/>
    <n v="-163.85"/>
    <m/>
    <d v="2020-08-07T17:14:36"/>
    <x v="2"/>
    <x v="2"/>
    <s v="Quarter 3"/>
  </r>
  <r>
    <n v="2000051649"/>
    <x v="5"/>
    <s v="0102FIAC7006"/>
    <n v="-26.05"/>
    <m/>
    <d v="2020-08-07T17:14:36"/>
    <x v="2"/>
    <x v="2"/>
    <s v="Quarter 3"/>
  </r>
  <r>
    <n v="2000051483"/>
    <x v="5"/>
    <s v="0100FIAR7007"/>
    <n v="-78.55"/>
    <m/>
    <d v="2020-08-07T17:14:36"/>
    <x v="2"/>
    <x v="2"/>
    <s v="Quarter 3"/>
  </r>
  <r>
    <n v="2000051608"/>
    <x v="5"/>
    <s v="0102FIAC7006"/>
    <n v="-102.6"/>
    <m/>
    <d v="2020-08-07T17:14:36"/>
    <x v="2"/>
    <x v="2"/>
    <s v="Quarter 3"/>
  </r>
  <r>
    <n v="2000051728"/>
    <x v="5"/>
    <s v="0102FIAC7006"/>
    <n v="-113.4"/>
    <m/>
    <d v="2020-08-07T17:14:36"/>
    <x v="2"/>
    <x v="2"/>
    <s v="Quarter 3"/>
  </r>
  <r>
    <n v="2000051728"/>
    <x v="5"/>
    <s v="0102FIAC7006"/>
    <n v="-96.1"/>
    <m/>
    <d v="2020-08-07T17:14:36"/>
    <x v="2"/>
    <x v="2"/>
    <s v="Quarter 3"/>
  </r>
  <r>
    <m/>
    <x v="5"/>
    <m/>
    <n v="-51607.82"/>
    <m/>
    <m/>
    <x v="3"/>
    <x v="3"/>
    <m/>
  </r>
  <r>
    <m/>
    <x v="2"/>
    <m/>
    <m/>
    <m/>
    <m/>
    <x v="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2800000349"/>
    <x v="0"/>
    <s v="SITIBOT"/>
    <n v="21.2"/>
    <m/>
    <x v="0"/>
    <s v="September"/>
    <s v="Week 2"/>
  </r>
  <r>
    <n v="2800000346"/>
    <x v="1"/>
    <s v="SITIBOT"/>
    <n v="593.5"/>
    <m/>
    <x v="0"/>
    <s v="September"/>
    <s v="Week 2"/>
  </r>
  <r>
    <n v="2800000347"/>
    <x v="2"/>
    <s v="SITIBOT"/>
    <n v="571.1"/>
    <m/>
    <x v="0"/>
    <s v="September"/>
    <s v="Week 2"/>
  </r>
  <r>
    <n v="2800000348"/>
    <x v="2"/>
    <s v="SITIBOT"/>
    <n v="64.5"/>
    <m/>
    <x v="0"/>
    <s v="September"/>
    <s v="Week 2"/>
  </r>
  <r>
    <m/>
    <x v="3"/>
    <m/>
    <n v="1250.3"/>
    <m/>
    <x v="0"/>
    <s v="September"/>
    <s v="Week 2"/>
  </r>
  <r>
    <n v="2000000846"/>
    <x v="4"/>
    <s v="SITIBOT"/>
    <n v="-54.65"/>
    <m/>
    <x v="0"/>
    <s v="September"/>
    <s v="Week 2"/>
  </r>
  <r>
    <n v="2000000847"/>
    <x v="4"/>
    <s v="SITIBOT"/>
    <n v="-2000"/>
    <m/>
    <x v="0"/>
    <s v="September"/>
    <s v="Week 2"/>
  </r>
  <r>
    <n v="2000000848"/>
    <x v="4"/>
    <s v="SITIBOT"/>
    <n v="-147.69999999999999"/>
    <m/>
    <x v="0"/>
    <s v="September"/>
    <s v="Week 2"/>
  </r>
  <r>
    <n v="2000000849"/>
    <x v="4"/>
    <s v="SITIBOT"/>
    <n v="-318.89"/>
    <m/>
    <x v="0"/>
    <s v="September"/>
    <s v="Week 2"/>
  </r>
  <r>
    <n v="2000000850"/>
    <x v="4"/>
    <s v="SITIBOT"/>
    <n v="-256.64999999999998"/>
    <m/>
    <x v="0"/>
    <s v="September"/>
    <s v="Week 2"/>
  </r>
  <r>
    <n v="2000000851"/>
    <x v="4"/>
    <s v="SITIBOT"/>
    <n v="-99.45"/>
    <m/>
    <x v="0"/>
    <s v="September"/>
    <s v="Week 2"/>
  </r>
  <r>
    <n v="2000000852"/>
    <x v="4"/>
    <s v="SITIBOT"/>
    <n v="-236.7"/>
    <m/>
    <x v="0"/>
    <s v="September"/>
    <s v="Week 2"/>
  </r>
  <r>
    <n v="2000000853"/>
    <x v="4"/>
    <s v="SITIBOT"/>
    <n v="-27.2"/>
    <m/>
    <x v="0"/>
    <s v="September"/>
    <s v="Week 2"/>
  </r>
  <r>
    <n v="2000000854"/>
    <x v="4"/>
    <s v="SITIBOT"/>
    <n v="-3319.55"/>
    <m/>
    <x v="0"/>
    <s v="September"/>
    <s v="Week 2"/>
  </r>
  <r>
    <n v="2000000843"/>
    <x v="4"/>
    <s v="0100FIAR7009"/>
    <n v="-6.3"/>
    <m/>
    <x v="0"/>
    <s v="September"/>
    <s v="Week 2"/>
  </r>
  <r>
    <n v="2000000844"/>
    <x v="4"/>
    <s v="0100FIAR7009"/>
    <n v="-18.95"/>
    <m/>
    <x v="0"/>
    <s v="September"/>
    <s v="Week 2"/>
  </r>
  <r>
    <n v="2000000845"/>
    <x v="4"/>
    <s v="0100FIAR7009"/>
    <n v="-143.55000000000001"/>
    <m/>
    <x v="0"/>
    <s v="September"/>
    <s v="Week 2"/>
  </r>
  <r>
    <n v="2000000855"/>
    <x v="4"/>
    <s v="SITIBOT"/>
    <n v="-12.65"/>
    <m/>
    <x v="0"/>
    <s v="September"/>
    <s v="Week 2"/>
  </r>
  <r>
    <m/>
    <x v="4"/>
    <m/>
    <n v="-6642.24"/>
    <m/>
    <x v="0"/>
    <m/>
    <m/>
  </r>
  <r>
    <m/>
    <x v="3"/>
    <m/>
    <m/>
    <m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37A8EC-B2F9-48C2-855E-8CAEFDEDAA16}" name="PivotTable4" cacheId="0" applyNumberFormats="0" applyBorderFormats="0" applyFontFormats="0" applyPatternFormats="0" applyAlignmentFormats="0" applyWidthHeightFormats="1" dataCaption="Values" updatedVersion="6" minRefreshableVersion="3" asteriskTotals="1" showMemberPropertyTips="0" useAutoFormatting="1" pageOverThenDown="1" itemPrintTitles="1" createdVersion="6" indent="0" outline="1" outlineData="1" multipleFieldFilters="0">
  <location ref="A3:F11" firstHeaderRow="1" firstDataRow="2" firstDataCol="1" rowPageCount="1" colPageCount="1"/>
  <pivotFields count="9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7">
        <item x="0"/>
        <item x="1"/>
        <item x="3"/>
        <item x="4"/>
        <item x="5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5">
        <item x="1"/>
        <item x="0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">
        <item x="2"/>
        <item x="0"/>
        <item x="1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Document Numb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9A2FFC-9FC8-4695-84E6-4EBBEEC93111}" name="PivotTable4" cacheId="1" applyNumberFormats="0" applyBorderFormats="0" applyFontFormats="0" applyPatternFormats="0" applyAlignmentFormats="0" applyWidthHeightFormats="1" dataCaption="Values" updatedVersion="6" minRefreshableVersion="3" asteriskTotals="1" showMemberPropertyTips="0" useAutoFormatting="1" pageOverThenDown="1" itemPrintTitles="1" createdVersion="6" indent="0" outline="1" outlineData="1" multipleFieldFilters="0">
  <location ref="A3:D10" firstHeaderRow="1" firstDataRow="2" firstDataCol="1"/>
  <pivotFields count="8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6">
        <item x="0"/>
        <item x="1"/>
        <item x="2"/>
        <item x="4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Amount in local currency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BFEDF-07E0-40B6-96EB-739BBD600C6E}">
  <sheetPr codeName="Sheet1"/>
  <dimension ref="A1:I18"/>
  <sheetViews>
    <sheetView tabSelected="1" workbookViewId="0">
      <selection activeCell="I2" sqref="I2:I18"/>
    </sheetView>
  </sheetViews>
  <sheetFormatPr defaultRowHeight="15" x14ac:dyDescent="0.25"/>
  <cols>
    <col min="1" max="1" width="16.85546875" style="1" bestFit="1" customWidth="1"/>
    <col min="2" max="2" width="9.140625" style="1" customWidth="1"/>
    <col min="3" max="3" width="12.5703125" style="1" bestFit="1" customWidth="1"/>
    <col min="4" max="4" width="9.140625" style="1" customWidth="1"/>
    <col min="5" max="5" width="20.140625" style="1" bestFit="1" customWidth="1"/>
    <col min="6" max="6" width="15.7109375" style="1" bestFit="1" customWidth="1"/>
    <col min="7" max="7" width="9.140625" style="1" customWidth="1"/>
    <col min="8" max="8" width="12.85546875" style="1" bestFit="1" customWidth="1"/>
    <col min="9" max="9" width="12.42578125" style="3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3" t="s">
        <v>8</v>
      </c>
    </row>
    <row r="2" spans="1:9" x14ac:dyDescent="0.25">
      <c r="A2" s="1">
        <v>2800000349</v>
      </c>
      <c r="B2" s="1">
        <v>271151</v>
      </c>
      <c r="C2" s="1" t="s">
        <v>22</v>
      </c>
      <c r="D2" s="1">
        <v>21.2</v>
      </c>
      <c r="F2" s="2">
        <v>44082</v>
      </c>
      <c r="G2" s="1" t="str">
        <f>TEXT(F2,"mmmm")</f>
        <v>September</v>
      </c>
      <c r="H2" s="1" t="str">
        <f>"Week "&amp;((WEEKNUM(F2)-WEEKNUM(DATE(YEAR(F2),MONTH(F2),1))+1))</f>
        <v>Week 2</v>
      </c>
      <c r="I2" s="3" t="str">
        <f>"Quarter " &amp; ROUNDUP((MONTH(F2))/3,0)</f>
        <v>Quarter 3</v>
      </c>
    </row>
    <row r="3" spans="1:9" x14ac:dyDescent="0.25">
      <c r="A3" s="1">
        <v>2800000346</v>
      </c>
      <c r="B3" s="1">
        <v>273114</v>
      </c>
      <c r="C3" s="1" t="s">
        <v>22</v>
      </c>
      <c r="D3" s="1">
        <v>593.5</v>
      </c>
      <c r="F3" s="2">
        <v>44082</v>
      </c>
      <c r="G3" s="1" t="str">
        <f t="shared" ref="G3:G18" si="0">TEXT(F3,"mmmm")</f>
        <v>September</v>
      </c>
      <c r="H3" s="1" t="str">
        <f t="shared" ref="H3:H18" si="1">"Week "&amp;((WEEKNUM(F3)-WEEKNUM(DATE(YEAR(F3),MONTH(F3),1))+1))</f>
        <v>Week 2</v>
      </c>
      <c r="I3" s="3" t="str">
        <f t="shared" ref="I3:I18" si="2">"Quarter " &amp; ROUNDUP((MONTH(F3))/3,0)</f>
        <v>Quarter 3</v>
      </c>
    </row>
    <row r="4" spans="1:9" x14ac:dyDescent="0.25">
      <c r="A4" s="1">
        <v>2800000347</v>
      </c>
      <c r="B4" s="1">
        <v>273116</v>
      </c>
      <c r="C4" s="1" t="s">
        <v>22</v>
      </c>
      <c r="D4" s="1">
        <v>571.1</v>
      </c>
      <c r="F4" s="2">
        <v>44082</v>
      </c>
      <c r="G4" s="1" t="str">
        <f t="shared" si="0"/>
        <v>September</v>
      </c>
      <c r="H4" s="1" t="str">
        <f t="shared" si="1"/>
        <v>Week 2</v>
      </c>
      <c r="I4" s="3" t="str">
        <f t="shared" si="2"/>
        <v>Quarter 3</v>
      </c>
    </row>
    <row r="5" spans="1:9" x14ac:dyDescent="0.25">
      <c r="A5" s="1">
        <v>2800000348</v>
      </c>
      <c r="B5" s="1">
        <v>273116</v>
      </c>
      <c r="C5" s="1" t="s">
        <v>22</v>
      </c>
      <c r="D5" s="1">
        <v>64.5</v>
      </c>
      <c r="F5" s="2">
        <v>44082</v>
      </c>
      <c r="G5" s="1" t="str">
        <f t="shared" si="0"/>
        <v>September</v>
      </c>
      <c r="H5" s="1" t="str">
        <f t="shared" si="1"/>
        <v>Week 2</v>
      </c>
      <c r="I5" s="3" t="str">
        <f t="shared" si="2"/>
        <v>Quarter 3</v>
      </c>
    </row>
    <row r="6" spans="1:9" x14ac:dyDescent="0.25">
      <c r="A6" s="1">
        <v>2000000846</v>
      </c>
      <c r="B6" s="1" t="s">
        <v>11</v>
      </c>
      <c r="C6" s="1" t="s">
        <v>22</v>
      </c>
      <c r="D6" s="10" t="s">
        <v>23</v>
      </c>
      <c r="F6" s="2">
        <v>44082</v>
      </c>
      <c r="G6" s="1" t="str">
        <f t="shared" si="0"/>
        <v>September</v>
      </c>
      <c r="H6" s="1" t="str">
        <f t="shared" si="1"/>
        <v>Week 2</v>
      </c>
      <c r="I6" s="3" t="str">
        <f t="shared" si="2"/>
        <v>Quarter 3</v>
      </c>
    </row>
    <row r="7" spans="1:9" x14ac:dyDescent="0.25">
      <c r="A7" s="1">
        <v>2000000847</v>
      </c>
      <c r="B7" s="1" t="s">
        <v>11</v>
      </c>
      <c r="C7" s="1" t="s">
        <v>22</v>
      </c>
      <c r="D7" s="10" t="s">
        <v>24</v>
      </c>
      <c r="F7" s="2">
        <v>44082</v>
      </c>
      <c r="G7" s="1" t="str">
        <f t="shared" si="0"/>
        <v>September</v>
      </c>
      <c r="H7" s="1" t="str">
        <f t="shared" si="1"/>
        <v>Week 2</v>
      </c>
      <c r="I7" s="3" t="str">
        <f t="shared" si="2"/>
        <v>Quarter 3</v>
      </c>
    </row>
    <row r="8" spans="1:9" x14ac:dyDescent="0.25">
      <c r="A8" s="1">
        <v>2000000848</v>
      </c>
      <c r="B8" s="1" t="s">
        <v>11</v>
      </c>
      <c r="C8" s="1" t="s">
        <v>22</v>
      </c>
      <c r="D8" s="10" t="s">
        <v>25</v>
      </c>
      <c r="F8" s="2">
        <v>44082</v>
      </c>
      <c r="G8" s="1" t="str">
        <f t="shared" si="0"/>
        <v>September</v>
      </c>
      <c r="H8" s="1" t="str">
        <f t="shared" si="1"/>
        <v>Week 2</v>
      </c>
      <c r="I8" s="3" t="str">
        <f t="shared" si="2"/>
        <v>Quarter 3</v>
      </c>
    </row>
    <row r="9" spans="1:9" x14ac:dyDescent="0.25">
      <c r="A9" s="1">
        <v>2000000849</v>
      </c>
      <c r="B9" s="1" t="s">
        <v>11</v>
      </c>
      <c r="C9" s="1" t="s">
        <v>22</v>
      </c>
      <c r="D9" s="10" t="s">
        <v>26</v>
      </c>
      <c r="F9" s="2">
        <v>44082</v>
      </c>
      <c r="G9" s="1" t="str">
        <f t="shared" si="0"/>
        <v>September</v>
      </c>
      <c r="H9" s="1" t="str">
        <f t="shared" si="1"/>
        <v>Week 2</v>
      </c>
      <c r="I9" s="3" t="str">
        <f t="shared" si="2"/>
        <v>Quarter 3</v>
      </c>
    </row>
    <row r="10" spans="1:9" x14ac:dyDescent="0.25">
      <c r="A10" s="1">
        <v>2000000850</v>
      </c>
      <c r="B10" s="1" t="s">
        <v>11</v>
      </c>
      <c r="C10" s="1" t="s">
        <v>22</v>
      </c>
      <c r="D10" s="10" t="s">
        <v>27</v>
      </c>
      <c r="F10" s="2">
        <v>44082</v>
      </c>
      <c r="G10" s="1" t="str">
        <f t="shared" si="0"/>
        <v>September</v>
      </c>
      <c r="H10" s="1" t="str">
        <f t="shared" si="1"/>
        <v>Week 2</v>
      </c>
      <c r="I10" s="3" t="str">
        <f t="shared" si="2"/>
        <v>Quarter 3</v>
      </c>
    </row>
    <row r="11" spans="1:9" x14ac:dyDescent="0.25">
      <c r="A11" s="1">
        <v>2000000851</v>
      </c>
      <c r="B11" s="1" t="s">
        <v>11</v>
      </c>
      <c r="C11" s="1" t="s">
        <v>22</v>
      </c>
      <c r="D11" s="10" t="s">
        <v>28</v>
      </c>
      <c r="F11" s="2">
        <v>44082</v>
      </c>
      <c r="G11" s="1" t="str">
        <f t="shared" si="0"/>
        <v>September</v>
      </c>
      <c r="H11" s="1" t="str">
        <f t="shared" si="1"/>
        <v>Week 2</v>
      </c>
      <c r="I11" s="3" t="str">
        <f t="shared" si="2"/>
        <v>Quarter 3</v>
      </c>
    </row>
    <row r="12" spans="1:9" x14ac:dyDescent="0.25">
      <c r="A12" s="1">
        <v>2000000852</v>
      </c>
      <c r="B12" s="1" t="s">
        <v>11</v>
      </c>
      <c r="C12" s="1" t="s">
        <v>22</v>
      </c>
      <c r="D12" s="10" t="s">
        <v>29</v>
      </c>
      <c r="F12" s="2">
        <v>44082</v>
      </c>
      <c r="G12" s="1" t="str">
        <f t="shared" si="0"/>
        <v>September</v>
      </c>
      <c r="H12" s="1" t="str">
        <f t="shared" si="1"/>
        <v>Week 2</v>
      </c>
      <c r="I12" s="3" t="str">
        <f t="shared" si="2"/>
        <v>Quarter 3</v>
      </c>
    </row>
    <row r="13" spans="1:9" x14ac:dyDescent="0.25">
      <c r="A13" s="1">
        <v>2000000853</v>
      </c>
      <c r="B13" s="1" t="s">
        <v>11</v>
      </c>
      <c r="C13" s="1" t="s">
        <v>22</v>
      </c>
      <c r="D13" s="10" t="s">
        <v>30</v>
      </c>
      <c r="F13" s="2">
        <v>44082</v>
      </c>
      <c r="G13" s="1" t="str">
        <f t="shared" si="0"/>
        <v>September</v>
      </c>
      <c r="H13" s="1" t="str">
        <f t="shared" si="1"/>
        <v>Week 2</v>
      </c>
      <c r="I13" s="3" t="str">
        <f t="shared" si="2"/>
        <v>Quarter 3</v>
      </c>
    </row>
    <row r="14" spans="1:9" x14ac:dyDescent="0.25">
      <c r="A14" s="1">
        <v>2000000854</v>
      </c>
      <c r="B14" s="1" t="s">
        <v>11</v>
      </c>
      <c r="C14" s="1" t="s">
        <v>22</v>
      </c>
      <c r="D14" s="10" t="s">
        <v>31</v>
      </c>
      <c r="F14" s="2">
        <v>44082</v>
      </c>
      <c r="G14" s="1" t="str">
        <f t="shared" si="0"/>
        <v>September</v>
      </c>
      <c r="H14" s="1" t="str">
        <f t="shared" si="1"/>
        <v>Week 2</v>
      </c>
      <c r="I14" s="3" t="str">
        <f t="shared" si="2"/>
        <v>Quarter 3</v>
      </c>
    </row>
    <row r="15" spans="1:9" x14ac:dyDescent="0.25">
      <c r="A15" s="1">
        <v>2000000843</v>
      </c>
      <c r="B15" s="1" t="s">
        <v>11</v>
      </c>
      <c r="C15" s="1" t="s">
        <v>32</v>
      </c>
      <c r="D15" s="10" t="s">
        <v>33</v>
      </c>
      <c r="F15" s="2">
        <v>44082</v>
      </c>
      <c r="G15" s="1" t="str">
        <f t="shared" si="0"/>
        <v>September</v>
      </c>
      <c r="H15" s="1" t="str">
        <f t="shared" si="1"/>
        <v>Week 2</v>
      </c>
      <c r="I15" s="3" t="str">
        <f t="shared" si="2"/>
        <v>Quarter 3</v>
      </c>
    </row>
    <row r="16" spans="1:9" x14ac:dyDescent="0.25">
      <c r="A16" s="1">
        <v>2000000844</v>
      </c>
      <c r="B16" s="1" t="s">
        <v>11</v>
      </c>
      <c r="C16" s="1" t="s">
        <v>32</v>
      </c>
      <c r="D16" s="10" t="s">
        <v>34</v>
      </c>
      <c r="F16" s="2">
        <v>44082</v>
      </c>
      <c r="G16" s="1" t="str">
        <f t="shared" si="0"/>
        <v>September</v>
      </c>
      <c r="H16" s="1" t="str">
        <f t="shared" si="1"/>
        <v>Week 2</v>
      </c>
      <c r="I16" s="3" t="str">
        <f t="shared" si="2"/>
        <v>Quarter 3</v>
      </c>
    </row>
    <row r="17" spans="1:9" x14ac:dyDescent="0.25">
      <c r="A17" s="1">
        <v>2000000845</v>
      </c>
      <c r="B17" s="1" t="s">
        <v>11</v>
      </c>
      <c r="C17" s="1" t="s">
        <v>32</v>
      </c>
      <c r="D17" s="10" t="s">
        <v>35</v>
      </c>
      <c r="F17" s="2">
        <v>44082</v>
      </c>
      <c r="G17" s="1" t="str">
        <f t="shared" si="0"/>
        <v>September</v>
      </c>
      <c r="H17" s="1" t="str">
        <f t="shared" si="1"/>
        <v>Week 2</v>
      </c>
      <c r="I17" s="3" t="str">
        <f t="shared" si="2"/>
        <v>Quarter 3</v>
      </c>
    </row>
    <row r="18" spans="1:9" x14ac:dyDescent="0.25">
      <c r="A18" s="1">
        <v>2000000855</v>
      </c>
      <c r="B18" s="1" t="s">
        <v>11</v>
      </c>
      <c r="C18" s="1" t="s">
        <v>22</v>
      </c>
      <c r="D18" s="10" t="s">
        <v>36</v>
      </c>
      <c r="F18" s="2">
        <v>44082</v>
      </c>
      <c r="G18" s="1" t="str">
        <f t="shared" si="0"/>
        <v>September</v>
      </c>
      <c r="H18" s="1" t="str">
        <f t="shared" si="1"/>
        <v>Week 2</v>
      </c>
      <c r="I18" s="3" t="str">
        <f t="shared" si="2"/>
        <v>Quarter 3</v>
      </c>
    </row>
  </sheetData>
  <autoFilter ref="A1:F1" xr:uid="{00000000-0009-0000-0000-000000000000}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38E6-85CC-434F-ACD3-70CAB0C4D5E5}">
  <sheetPr codeName="Sheet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07DF5-F139-4557-A9EC-0F4A091A7705}">
  <sheetPr codeName="Sheet19"/>
  <dimension ref="A1:F11"/>
  <sheetViews>
    <sheetView workbookViewId="0">
      <selection activeCell="A4" sqref="A4"/>
    </sheetView>
  </sheetViews>
  <sheetFormatPr defaultRowHeight="15" x14ac:dyDescent="0.25"/>
  <cols>
    <col min="1" max="1" width="24.85546875" bestFit="1" customWidth="1"/>
    <col min="2" max="2" width="15.28515625" bestFit="1" customWidth="1"/>
    <col min="3" max="4" width="7.140625" bestFit="1" customWidth="1"/>
    <col min="5" max="5" width="6.7109375" bestFit="1" customWidth="1"/>
    <col min="6" max="6" width="10.7109375" bestFit="1" customWidth="1"/>
  </cols>
  <sheetData>
    <row r="1" spans="1:6" x14ac:dyDescent="0.25">
      <c r="A1" s="5" t="s">
        <v>6</v>
      </c>
      <c r="B1" t="s">
        <v>17</v>
      </c>
    </row>
    <row r="3" spans="1:6" x14ac:dyDescent="0.25">
      <c r="A3" s="5" t="s">
        <v>16</v>
      </c>
      <c r="B3" s="5" t="s">
        <v>15</v>
      </c>
    </row>
    <row r="4" spans="1:6" x14ac:dyDescent="0.25">
      <c r="A4" s="5" t="s">
        <v>12</v>
      </c>
      <c r="B4" t="s">
        <v>18</v>
      </c>
      <c r="C4" t="s">
        <v>19</v>
      </c>
      <c r="D4" t="s">
        <v>20</v>
      </c>
      <c r="E4" t="s">
        <v>13</v>
      </c>
      <c r="F4" t="s">
        <v>14</v>
      </c>
    </row>
    <row r="5" spans="1:6" x14ac:dyDescent="0.25">
      <c r="A5" s="6">
        <v>273114</v>
      </c>
      <c r="B5" s="7"/>
      <c r="C5" s="7">
        <v>12</v>
      </c>
      <c r="D5" s="7">
        <v>8</v>
      </c>
      <c r="E5" s="7"/>
      <c r="F5" s="7">
        <v>20</v>
      </c>
    </row>
    <row r="6" spans="1:6" x14ac:dyDescent="0.25">
      <c r="A6" s="6">
        <v>273115</v>
      </c>
      <c r="B6" s="7"/>
      <c r="C6" s="7">
        <v>3</v>
      </c>
      <c r="D6" s="7">
        <v>2</v>
      </c>
      <c r="E6" s="7"/>
      <c r="F6" s="7">
        <v>5</v>
      </c>
    </row>
    <row r="7" spans="1:6" x14ac:dyDescent="0.25">
      <c r="A7" s="6" t="s">
        <v>9</v>
      </c>
      <c r="B7" s="7">
        <v>4</v>
      </c>
      <c r="C7" s="7"/>
      <c r="D7" s="7"/>
      <c r="E7" s="7"/>
      <c r="F7" s="7">
        <v>4</v>
      </c>
    </row>
    <row r="8" spans="1:6" x14ac:dyDescent="0.25">
      <c r="A8" s="6" t="s">
        <v>10</v>
      </c>
      <c r="B8" s="7">
        <v>1</v>
      </c>
      <c r="C8" s="7"/>
      <c r="D8" s="7"/>
      <c r="E8" s="7"/>
      <c r="F8" s="7">
        <v>1</v>
      </c>
    </row>
    <row r="9" spans="1:6" x14ac:dyDescent="0.25">
      <c r="A9" s="6" t="s">
        <v>11</v>
      </c>
      <c r="B9" s="7">
        <v>106</v>
      </c>
      <c r="C9" s="7"/>
      <c r="D9" s="7"/>
      <c r="E9" s="7"/>
      <c r="F9" s="7">
        <v>106</v>
      </c>
    </row>
    <row r="10" spans="1:6" x14ac:dyDescent="0.25">
      <c r="A10" s="6" t="s">
        <v>13</v>
      </c>
      <c r="B10" s="7"/>
      <c r="C10" s="7"/>
      <c r="D10" s="7"/>
      <c r="E10" s="7"/>
      <c r="F10" s="7"/>
    </row>
    <row r="11" spans="1:6" x14ac:dyDescent="0.25">
      <c r="A11" s="6" t="s">
        <v>14</v>
      </c>
      <c r="B11" s="7">
        <v>111</v>
      </c>
      <c r="C11" s="7">
        <v>15</v>
      </c>
      <c r="D11" s="7">
        <v>10</v>
      </c>
      <c r="E11" s="7"/>
      <c r="F11" s="7">
        <v>136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FD90-E0CE-4217-8A62-0F29957D2CFD}">
  <dimension ref="A3:D10"/>
  <sheetViews>
    <sheetView workbookViewId="0">
      <selection activeCell="A3" sqref="A3"/>
    </sheetView>
  </sheetViews>
  <sheetFormatPr defaultRowHeight="15" x14ac:dyDescent="0.25"/>
  <cols>
    <col min="1" max="1" width="30.140625" bestFit="1" customWidth="1"/>
    <col min="2" max="2" width="16.28515625" bestFit="1" customWidth="1"/>
    <col min="3" max="3" width="7.28515625" bestFit="1" customWidth="1"/>
    <col min="4" max="4" width="11.28515625" bestFit="1" customWidth="1"/>
  </cols>
  <sheetData>
    <row r="3" spans="1:4" x14ac:dyDescent="0.25">
      <c r="A3" s="5" t="s">
        <v>21</v>
      </c>
      <c r="B3" s="5" t="s">
        <v>15</v>
      </c>
    </row>
    <row r="4" spans="1:4" x14ac:dyDescent="0.25">
      <c r="A4" s="5" t="s">
        <v>12</v>
      </c>
      <c r="B4" s="9">
        <v>44082</v>
      </c>
      <c r="C4" s="8" t="s">
        <v>13</v>
      </c>
      <c r="D4" s="8" t="s">
        <v>14</v>
      </c>
    </row>
    <row r="5" spans="1:4" x14ac:dyDescent="0.25">
      <c r="A5" s="6">
        <v>271151</v>
      </c>
      <c r="B5" s="7">
        <v>21.2</v>
      </c>
      <c r="C5" s="7"/>
      <c r="D5" s="7">
        <v>21.2</v>
      </c>
    </row>
    <row r="6" spans="1:4" x14ac:dyDescent="0.25">
      <c r="A6" s="6">
        <v>273114</v>
      </c>
      <c r="B6" s="7">
        <v>593.5</v>
      </c>
      <c r="C6" s="7"/>
      <c r="D6" s="7">
        <v>593.5</v>
      </c>
    </row>
    <row r="7" spans="1:4" x14ac:dyDescent="0.25">
      <c r="A7" s="6">
        <v>273116</v>
      </c>
      <c r="B7" s="7">
        <v>635.6</v>
      </c>
      <c r="C7" s="7"/>
      <c r="D7" s="7">
        <v>635.6</v>
      </c>
    </row>
    <row r="8" spans="1:4" x14ac:dyDescent="0.25">
      <c r="A8" s="6" t="s">
        <v>11</v>
      </c>
      <c r="B8" s="7">
        <v>-13284.48</v>
      </c>
      <c r="C8" s="7"/>
      <c r="D8" s="7">
        <v>-13284.48</v>
      </c>
    </row>
    <row r="9" spans="1:4" x14ac:dyDescent="0.25">
      <c r="A9" s="6" t="s">
        <v>13</v>
      </c>
      <c r="B9" s="7">
        <v>1250.3</v>
      </c>
      <c r="C9" s="7"/>
      <c r="D9" s="7">
        <v>1250.3</v>
      </c>
    </row>
    <row r="10" spans="1:4" x14ac:dyDescent="0.25">
      <c r="A10" s="6" t="s">
        <v>14</v>
      </c>
      <c r="B10" s="7">
        <v>-10783.880000000001</v>
      </c>
      <c r="C10" s="7"/>
      <c r="D10" s="7">
        <v>-10783.880000000001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B376-C984-4961-9CB2-429C07356780}">
  <sheetPr codeName="Sheet27"/>
  <dimension ref="F1:G24"/>
  <sheetViews>
    <sheetView workbookViewId="0">
      <selection sqref="A1:H1048576"/>
    </sheetView>
  </sheetViews>
  <sheetFormatPr defaultRowHeight="15" x14ac:dyDescent="0.25"/>
  <sheetData>
    <row r="1" spans="6:6" x14ac:dyDescent="0.25">
      <c r="F1" s="4"/>
    </row>
    <row r="2" spans="6:6" x14ac:dyDescent="0.25">
      <c r="F2" s="4"/>
    </row>
    <row r="3" spans="6:6" x14ac:dyDescent="0.25">
      <c r="F3" s="4"/>
    </row>
    <row r="4" spans="6:6" x14ac:dyDescent="0.25">
      <c r="F4" s="4"/>
    </row>
    <row r="5" spans="6:6" x14ac:dyDescent="0.25">
      <c r="F5" s="4"/>
    </row>
    <row r="24" spans="7:7" x14ac:dyDescent="0.25">
      <c r="G24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Option Button 8">
              <controlPr defaultSize="0" autoFill="0" autoLine="0" autoPict="0" macro="[0]!DailyReport">
                <anchor moveWithCells="1">
                  <from>
                    <xdr:col>1</xdr:col>
                    <xdr:colOff>466725</xdr:colOff>
                    <xdr:row>3</xdr:row>
                    <xdr:rowOff>47625</xdr:rowOff>
                  </from>
                  <to>
                    <xdr:col>4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Option Button 9">
              <controlPr defaultSize="0" autoFill="0" autoLine="0" autoPict="0" macro="[0]!byAccount_Weekly_Amount">
                <anchor moveWithCells="1">
                  <from>
                    <xdr:col>1</xdr:col>
                    <xdr:colOff>466725</xdr:colOff>
                    <xdr:row>5</xdr:row>
                    <xdr:rowOff>38100</xdr:rowOff>
                  </from>
                  <to>
                    <xdr:col>3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MonthlyReport">
                <anchor moveWithCells="1">
                  <from>
                    <xdr:col>1</xdr:col>
                    <xdr:colOff>466725</xdr:colOff>
                    <xdr:row>7</xdr:row>
                    <xdr:rowOff>47625</xdr:rowOff>
                  </from>
                  <to>
                    <xdr:col>3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ReportByQuarter">
                <anchor moveWithCells="1">
                  <from>
                    <xdr:col>1</xdr:col>
                    <xdr:colOff>466725</xdr:colOff>
                    <xdr:row>9</xdr:row>
                    <xdr:rowOff>28575</xdr:rowOff>
                  </from>
                  <to>
                    <xdr:col>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Group Box 12">
              <controlPr defaultSize="0" autoFill="0" autoPict="0">
                <anchor moveWithCells="1">
                  <from>
                    <xdr:col>0</xdr:col>
                    <xdr:colOff>266700</xdr:colOff>
                    <xdr:row>2</xdr:row>
                    <xdr:rowOff>85725</xdr:rowOff>
                  </from>
                  <to>
                    <xdr:col>5</xdr:col>
                    <xdr:colOff>9525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Option Button 13">
              <controlPr defaultSize="0" autoFill="0" autoLine="0" autoPict="0" macro="[0]!VolumeDaily">
                <anchor moveWithCells="1">
                  <from>
                    <xdr:col>8</xdr:col>
                    <xdr:colOff>466725</xdr:colOff>
                    <xdr:row>3</xdr:row>
                    <xdr:rowOff>47625</xdr:rowOff>
                  </from>
                  <to>
                    <xdr:col>11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Option Button 14">
              <controlPr defaultSize="0" autoFill="0" autoLine="0" autoPict="0" macro="[0]!VolumeWeekly">
                <anchor moveWithCells="1">
                  <from>
                    <xdr:col>8</xdr:col>
                    <xdr:colOff>466725</xdr:colOff>
                    <xdr:row>5</xdr:row>
                    <xdr:rowOff>38100</xdr:rowOff>
                  </from>
                  <to>
                    <xdr:col>10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Option Button 15">
              <controlPr defaultSize="0" autoFill="0" autoLine="0" autoPict="0" macro="[0]!VolumeMonthly">
                <anchor moveWithCells="1">
                  <from>
                    <xdr:col>8</xdr:col>
                    <xdr:colOff>466725</xdr:colOff>
                    <xdr:row>7</xdr:row>
                    <xdr:rowOff>47625</xdr:rowOff>
                  </from>
                  <to>
                    <xdr:col>10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Option Button 16">
              <controlPr defaultSize="0" autoFill="0" autoLine="0" autoPict="0" macro="[0]!VolumeQuarterly">
                <anchor moveWithCells="1">
                  <from>
                    <xdr:col>8</xdr:col>
                    <xdr:colOff>466725</xdr:colOff>
                    <xdr:row>9</xdr:row>
                    <xdr:rowOff>28575</xdr:rowOff>
                  </from>
                  <to>
                    <xdr:col>10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Group Box 17">
              <controlPr defaultSize="0" autoFill="0" autoPict="0">
                <anchor moveWithCells="1">
                  <from>
                    <xdr:col>7</xdr:col>
                    <xdr:colOff>266700</xdr:colOff>
                    <xdr:row>2</xdr:row>
                    <xdr:rowOff>85725</xdr:rowOff>
                  </from>
                  <to>
                    <xdr:col>11</xdr:col>
                    <xdr:colOff>533400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Group Box 18">
              <controlPr defaultSize="0" autoFill="0" autoPict="0">
                <anchor mov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12</xdr:col>
                    <xdr:colOff>514350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1</xdr:col>
                    <xdr:colOff>438150</xdr:colOff>
                    <xdr:row>16</xdr:row>
                    <xdr:rowOff>180975</xdr:rowOff>
                  </from>
                  <to>
                    <xdr:col>12</xdr:col>
                    <xdr:colOff>19050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Option Button 21">
              <controlPr defaultSize="0" autoFill="0" autoLine="0" autoPict="0" macro="[0]!DailyReportByID">
                <anchor moveWithCells="1">
                  <from>
                    <xdr:col>2</xdr:col>
                    <xdr:colOff>485775</xdr:colOff>
                    <xdr:row>19</xdr:row>
                    <xdr:rowOff>66675</xdr:rowOff>
                  </from>
                  <to>
                    <xdr:col>5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Option Button 22">
              <controlPr defaultSize="0" autoFill="0" autoLine="0" autoPict="0" macro="[0]!WeeklyReportByIDv2">
                <anchor moveWithCells="1">
                  <from>
                    <xdr:col>2</xdr:col>
                    <xdr:colOff>485775</xdr:colOff>
                    <xdr:row>21</xdr:row>
                    <xdr:rowOff>180975</xdr:rowOff>
                  </from>
                  <to>
                    <xdr:col>4</xdr:col>
                    <xdr:colOff>514350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Option Button 23">
              <controlPr defaultSize="0" autoFill="0" autoLine="0" autoPict="0" macro="[0]!MonthlyByIDv3">
                <anchor moveWithCells="1">
                  <from>
                    <xdr:col>2</xdr:col>
                    <xdr:colOff>485775</xdr:colOff>
                    <xdr:row>24</xdr:row>
                    <xdr:rowOff>85725</xdr:rowOff>
                  </from>
                  <to>
                    <xdr:col>6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Option Button 24">
              <controlPr defaultSize="0" autoFill="0" autoLine="0" autoPict="0" macro="[0]!QuarterlyByID">
                <anchor moveWithCells="1">
                  <from>
                    <xdr:col>2</xdr:col>
                    <xdr:colOff>485775</xdr:colOff>
                    <xdr:row>26</xdr:row>
                    <xdr:rowOff>76200</xdr:rowOff>
                  </from>
                  <to>
                    <xdr:col>5</xdr:col>
                    <xdr:colOff>190500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Option Button 25">
              <controlPr defaultSize="0" autoFill="0" autoLine="0" autoPict="0" macro="[0]!addDate">
                <anchor moveWithCells="1">
                  <from>
                    <xdr:col>13</xdr:col>
                    <xdr:colOff>314325</xdr:colOff>
                    <xdr:row>3</xdr:row>
                    <xdr:rowOff>0</xdr:rowOff>
                  </from>
                  <to>
                    <xdr:col>16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Option Button 26">
              <controlPr defaultSize="0" autoFill="0" autoLine="0" autoPict="0" macro="[0]!ADDMonthnWeek">
                <anchor moveWithCells="1">
                  <from>
                    <xdr:col>13</xdr:col>
                    <xdr:colOff>333375</xdr:colOff>
                    <xdr:row>5</xdr:row>
                    <xdr:rowOff>142875</xdr:rowOff>
                  </from>
                  <to>
                    <xdr:col>16</xdr:col>
                    <xdr:colOff>542925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Option Button 27">
              <controlPr defaultSize="0" autoFill="0" autoLine="0" autoPict="0" macro="[0]!AccountYearlyReport">
                <anchor moveWithCells="1">
                  <from>
                    <xdr:col>1</xdr:col>
                    <xdr:colOff>466725</xdr:colOff>
                    <xdr:row>11</xdr:row>
                    <xdr:rowOff>28575</xdr:rowOff>
                  </from>
                  <to>
                    <xdr:col>3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Option Button 28">
              <controlPr defaultSize="0" autoFill="0" autoLine="0" autoPict="0" macro="[0]!YearlyReportVolume">
                <anchor moveWithCells="1">
                  <from>
                    <xdr:col>8</xdr:col>
                    <xdr:colOff>485775</xdr:colOff>
                    <xdr:row>11</xdr:row>
                    <xdr:rowOff>28575</xdr:rowOff>
                  </from>
                  <to>
                    <xdr:col>10</xdr:col>
                    <xdr:colOff>285750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Option Button 29">
              <controlPr defaultSize="0" autoFill="0" autoLine="0" autoPict="0" macro="[0]!YearlyReportByID_Volume">
                <anchor moveWithCells="1">
                  <from>
                    <xdr:col>2</xdr:col>
                    <xdr:colOff>495300</xdr:colOff>
                    <xdr:row>28</xdr:row>
                    <xdr:rowOff>104775</xdr:rowOff>
                  </from>
                  <to>
                    <xdr:col>5</xdr:col>
                    <xdr:colOff>104775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Group Box 30">
              <controlPr defaultSize="0" autoFill="0" autoPict="0">
                <anchor moveWithCells="1">
                  <from>
                    <xdr:col>2</xdr:col>
                    <xdr:colOff>304800</xdr:colOff>
                    <xdr:row>19</xdr:row>
                    <xdr:rowOff>19050</xdr:rowOff>
                  </from>
                  <to>
                    <xdr:col>5</xdr:col>
                    <xdr:colOff>600075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Group Box 31">
              <controlPr defaultSize="0" autoFill="0" autoPict="0">
                <anchor moveWithCells="1">
                  <from>
                    <xdr:col>7</xdr:col>
                    <xdr:colOff>333375</xdr:colOff>
                    <xdr:row>18</xdr:row>
                    <xdr:rowOff>180975</xdr:rowOff>
                  </from>
                  <to>
                    <xdr:col>11</xdr:col>
                    <xdr:colOff>28575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Option Button 32">
              <controlPr defaultSize="0" autoFill="0" autoLine="0" autoPict="0" macro="[0]!IDDaily_Amount">
                <anchor moveWithCells="1">
                  <from>
                    <xdr:col>7</xdr:col>
                    <xdr:colOff>581025</xdr:colOff>
                    <xdr:row>20</xdr:row>
                    <xdr:rowOff>66675</xdr:rowOff>
                  </from>
                  <to>
                    <xdr:col>9</xdr:col>
                    <xdr:colOff>457200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Option Button 33">
              <controlPr defaultSize="0" autoFill="0" autoLine="0" autoPict="0" macro="[0]!WeeklyID_Amount">
                <anchor moveWithCells="1">
                  <from>
                    <xdr:col>7</xdr:col>
                    <xdr:colOff>571500</xdr:colOff>
                    <xdr:row>22</xdr:row>
                    <xdr:rowOff>76200</xdr:rowOff>
                  </from>
                  <to>
                    <xdr:col>9</xdr:col>
                    <xdr:colOff>295275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Option Button 34">
              <controlPr defaultSize="0" autoFill="0" autoLine="0" autoPict="0" macro="[0]!MonthlyByID_Amount">
                <anchor moveWithCells="1">
                  <from>
                    <xdr:col>7</xdr:col>
                    <xdr:colOff>561975</xdr:colOff>
                    <xdr:row>24</xdr:row>
                    <xdr:rowOff>66675</xdr:rowOff>
                  </from>
                  <to>
                    <xdr:col>9</xdr:col>
                    <xdr:colOff>409575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Option Button 35">
              <controlPr defaultSize="0" autoFill="0" autoLine="0" autoPict="0" macro="[0]!QuarterlyByid_amount">
                <anchor moveWithCells="1">
                  <from>
                    <xdr:col>7</xdr:col>
                    <xdr:colOff>561975</xdr:colOff>
                    <xdr:row>26</xdr:row>
                    <xdr:rowOff>85725</xdr:rowOff>
                  </from>
                  <to>
                    <xdr:col>9</xdr:col>
                    <xdr:colOff>352425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Option Button 36">
              <controlPr defaultSize="0" autoFill="0" autoLine="0" autoPict="0" macro="[0]!YearlyByID_Amount">
                <anchor moveWithCells="1">
                  <from>
                    <xdr:col>7</xdr:col>
                    <xdr:colOff>552450</xdr:colOff>
                    <xdr:row>28</xdr:row>
                    <xdr:rowOff>66675</xdr:rowOff>
                  </from>
                  <to>
                    <xdr:col>9</xdr:col>
                    <xdr:colOff>409575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Sheet20</vt:lpstr>
      <vt:lpstr>Sheet21</vt:lpstr>
      <vt:lpstr>Sheet2</vt:lpstr>
      <vt:lpstr>SelectRadioButton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SitiBot</cp:lastModifiedBy>
  <dcterms:created xsi:type="dcterms:W3CDTF">2020-07-07T09:29:51Z</dcterms:created>
  <dcterms:modified xsi:type="dcterms:W3CDTF">2020-09-08T05:45:34Z</dcterms:modified>
</cp:coreProperties>
</file>