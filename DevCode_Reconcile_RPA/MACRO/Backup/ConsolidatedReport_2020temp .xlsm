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tibot\Desktop\POSMalaysia_MainFramework\DevCode_Reconcile_RPA\MACRO\"/>
    </mc:Choice>
  </mc:AlternateContent>
  <xr:revisionPtr revIDLastSave="0" documentId="13_ncr:1_{9E1862F2-0A5D-49A8-B014-5D8799392C21}" xr6:coauthVersionLast="45" xr6:coauthVersionMax="45" xr10:uidLastSave="{00000000-0000-0000-0000-000000000000}"/>
  <bookViews>
    <workbookView xWindow="-120" yWindow="-120" windowWidth="15600" windowHeight="11160" xr2:uid="{7C17A896-D9F8-4801-A30D-7296FC704F99}"/>
  </bookViews>
  <sheets>
    <sheet name="Sheet1" sheetId="61" r:id="rId1"/>
    <sheet name="Sheet20" sheetId="58" r:id="rId2"/>
    <sheet name="Sheet21" sheetId="59" r:id="rId3"/>
    <sheet name="Sheet2" sheetId="60" r:id="rId4"/>
    <sheet name="SelectRadioButton" sheetId="27" r:id="rId5"/>
  </sheets>
  <definedNames>
    <definedName name="_xlnm._FilterDatabase" localSheetId="0" hidden="1">Sheet1!$A$1:$I$1</definedName>
  </definedNames>
  <calcPr calcId="191029"/>
  <pivotCaches>
    <pivotCache cacheId="12" r:id="rId6"/>
    <pivotCache cacheId="13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61" l="1"/>
  <c r="I4" i="61"/>
  <c r="I5" i="61"/>
  <c r="I6" i="61"/>
  <c r="I7" i="61"/>
  <c r="I8" i="61"/>
  <c r="I9" i="61"/>
  <c r="I10" i="61"/>
  <c r="I11" i="61"/>
  <c r="I12" i="61"/>
  <c r="I13" i="61"/>
  <c r="I14" i="61"/>
  <c r="I15" i="61"/>
  <c r="I16" i="61"/>
  <c r="I17" i="61"/>
  <c r="I18" i="61"/>
  <c r="I19" i="61"/>
  <c r="I20" i="61"/>
  <c r="I21" i="61"/>
  <c r="I22" i="61"/>
  <c r="I23" i="61"/>
  <c r="I24" i="61"/>
  <c r="I25" i="61"/>
  <c r="I26" i="61"/>
  <c r="I27" i="61"/>
  <c r="I28" i="61"/>
  <c r="I29" i="61"/>
  <c r="I30" i="61"/>
  <c r="I31" i="61"/>
  <c r="I32" i="61"/>
  <c r="I33" i="61"/>
  <c r="I34" i="61"/>
  <c r="I35" i="61"/>
  <c r="I36" i="61"/>
  <c r="I37" i="61"/>
  <c r="I38" i="61"/>
  <c r="I39" i="61"/>
  <c r="I40" i="61"/>
  <c r="I41" i="61"/>
  <c r="I42" i="61"/>
  <c r="I43" i="61"/>
  <c r="I44" i="61"/>
  <c r="I45" i="61"/>
  <c r="I46" i="61"/>
  <c r="I47" i="61"/>
  <c r="I48" i="61"/>
  <c r="I49" i="61"/>
  <c r="I50" i="61"/>
  <c r="I51" i="61"/>
  <c r="I52" i="61"/>
  <c r="I53" i="61"/>
  <c r="I54" i="61"/>
  <c r="I55" i="61"/>
  <c r="I56" i="61"/>
  <c r="I57" i="61"/>
  <c r="I58" i="61"/>
  <c r="I59" i="61"/>
  <c r="I60" i="61"/>
  <c r="I61" i="61"/>
  <c r="I62" i="61"/>
  <c r="I63" i="61"/>
  <c r="I64" i="61"/>
  <c r="I65" i="61"/>
  <c r="I66" i="61"/>
  <c r="I67" i="61"/>
  <c r="I68" i="61"/>
  <c r="I69" i="61"/>
  <c r="I70" i="61"/>
  <c r="I71" i="61"/>
  <c r="I72" i="61"/>
  <c r="I73" i="61"/>
  <c r="I74" i="61"/>
  <c r="I75" i="61"/>
  <c r="I76" i="61"/>
  <c r="I77" i="61"/>
  <c r="I78" i="61"/>
  <c r="I79" i="61"/>
  <c r="I80" i="61"/>
  <c r="I81" i="61"/>
  <c r="I82" i="61"/>
  <c r="I83" i="61"/>
  <c r="I84" i="61"/>
  <c r="I85" i="61"/>
  <c r="I86" i="61"/>
  <c r="I87" i="61"/>
  <c r="I88" i="61"/>
  <c r="I89" i="61"/>
  <c r="I90" i="61"/>
  <c r="I91" i="61"/>
  <c r="I92" i="61"/>
  <c r="I93" i="61"/>
  <c r="I94" i="61"/>
  <c r="I95" i="61"/>
  <c r="I96" i="61"/>
  <c r="I97" i="61"/>
  <c r="I98" i="61"/>
  <c r="I99" i="61"/>
  <c r="I100" i="61"/>
  <c r="I101" i="61"/>
  <c r="I102" i="61"/>
  <c r="I103" i="61"/>
  <c r="I2" i="61"/>
  <c r="H3" i="61"/>
  <c r="H4" i="61"/>
  <c r="H5" i="61"/>
  <c r="H6" i="61"/>
  <c r="H7" i="61"/>
  <c r="H8" i="61"/>
  <c r="H9" i="61"/>
  <c r="H10" i="61"/>
  <c r="H11" i="61"/>
  <c r="H12" i="61"/>
  <c r="H13" i="61"/>
  <c r="H14" i="61"/>
  <c r="H15" i="61"/>
  <c r="H16" i="61"/>
  <c r="H17" i="61"/>
  <c r="H18" i="61"/>
  <c r="H19" i="61"/>
  <c r="H20" i="61"/>
  <c r="H21" i="61"/>
  <c r="H22" i="61"/>
  <c r="H23" i="61"/>
  <c r="H24" i="61"/>
  <c r="H25" i="61"/>
  <c r="H26" i="61"/>
  <c r="H27" i="61"/>
  <c r="H28" i="61"/>
  <c r="H29" i="61"/>
  <c r="H30" i="61"/>
  <c r="H31" i="61"/>
  <c r="H32" i="61"/>
  <c r="H33" i="61"/>
  <c r="H34" i="61"/>
  <c r="H35" i="61"/>
  <c r="H36" i="61"/>
  <c r="H37" i="61"/>
  <c r="H38" i="61"/>
  <c r="H39" i="61"/>
  <c r="H40" i="61"/>
  <c r="H41" i="61"/>
  <c r="H42" i="61"/>
  <c r="H43" i="61"/>
  <c r="H44" i="61"/>
  <c r="H45" i="61"/>
  <c r="H46" i="61"/>
  <c r="H47" i="61"/>
  <c r="H48" i="61"/>
  <c r="H49" i="61"/>
  <c r="H50" i="61"/>
  <c r="H51" i="61"/>
  <c r="H52" i="61"/>
  <c r="H53" i="61"/>
  <c r="H54" i="61"/>
  <c r="H55" i="61"/>
  <c r="H56" i="61"/>
  <c r="H57" i="61"/>
  <c r="H58" i="61"/>
  <c r="H59" i="61"/>
  <c r="H60" i="61"/>
  <c r="H61" i="61"/>
  <c r="H62" i="61"/>
  <c r="H63" i="61"/>
  <c r="H64" i="61"/>
  <c r="H65" i="61"/>
  <c r="H66" i="61"/>
  <c r="H67" i="61"/>
  <c r="H68" i="61"/>
  <c r="H69" i="61"/>
  <c r="H70" i="61"/>
  <c r="H71" i="61"/>
  <c r="H72" i="61"/>
  <c r="H73" i="61"/>
  <c r="H74" i="61"/>
  <c r="H75" i="61"/>
  <c r="H76" i="61"/>
  <c r="H77" i="61"/>
  <c r="H78" i="61"/>
  <c r="H79" i="61"/>
  <c r="H80" i="61"/>
  <c r="H81" i="61"/>
  <c r="H82" i="61"/>
  <c r="H83" i="61"/>
  <c r="H84" i="61"/>
  <c r="H85" i="61"/>
  <c r="H86" i="61"/>
  <c r="H87" i="61"/>
  <c r="H88" i="61"/>
  <c r="H89" i="61"/>
  <c r="H90" i="61"/>
  <c r="H91" i="61"/>
  <c r="H92" i="61"/>
  <c r="H93" i="61"/>
  <c r="H94" i="61"/>
  <c r="H95" i="61"/>
  <c r="H96" i="61"/>
  <c r="H97" i="61"/>
  <c r="H98" i="61"/>
  <c r="H99" i="61"/>
  <c r="H100" i="61"/>
  <c r="H101" i="61"/>
  <c r="H102" i="61"/>
  <c r="H103" i="61"/>
  <c r="H2" i="61"/>
  <c r="G3" i="61"/>
  <c r="G4" i="61"/>
  <c r="G5" i="61"/>
  <c r="G6" i="61"/>
  <c r="G7" i="61"/>
  <c r="G8" i="61"/>
  <c r="G9" i="61"/>
  <c r="G10" i="61"/>
  <c r="G11" i="61"/>
  <c r="G12" i="61"/>
  <c r="G13" i="61"/>
  <c r="G14" i="61"/>
  <c r="G15" i="61"/>
  <c r="G16" i="61"/>
  <c r="G17" i="61"/>
  <c r="G18" i="61"/>
  <c r="G19" i="61"/>
  <c r="G20" i="61"/>
  <c r="G21" i="61"/>
  <c r="G22" i="61"/>
  <c r="G23" i="61"/>
  <c r="G24" i="61"/>
  <c r="G25" i="61"/>
  <c r="G26" i="61"/>
  <c r="G27" i="61"/>
  <c r="G28" i="61"/>
  <c r="G29" i="61"/>
  <c r="G30" i="61"/>
  <c r="G31" i="61"/>
  <c r="G32" i="61"/>
  <c r="G33" i="61"/>
  <c r="G34" i="61"/>
  <c r="G35" i="61"/>
  <c r="G36" i="61"/>
  <c r="G37" i="61"/>
  <c r="G38" i="61"/>
  <c r="G39" i="61"/>
  <c r="G40" i="61"/>
  <c r="G41" i="61"/>
  <c r="G42" i="61"/>
  <c r="G43" i="61"/>
  <c r="G44" i="61"/>
  <c r="G45" i="61"/>
  <c r="G46" i="61"/>
  <c r="G47" i="61"/>
  <c r="G48" i="61"/>
  <c r="G49" i="61"/>
  <c r="G50" i="61"/>
  <c r="G51" i="61"/>
  <c r="G52" i="61"/>
  <c r="G53" i="61"/>
  <c r="G54" i="61"/>
  <c r="G55" i="61"/>
  <c r="G56" i="61"/>
  <c r="G57" i="61"/>
  <c r="G58" i="61"/>
  <c r="G59" i="61"/>
  <c r="G60" i="61"/>
  <c r="G61" i="61"/>
  <c r="G62" i="61"/>
  <c r="G63" i="61"/>
  <c r="G64" i="61"/>
  <c r="G65" i="61"/>
  <c r="G66" i="61"/>
  <c r="G67" i="61"/>
  <c r="G68" i="61"/>
  <c r="G69" i="61"/>
  <c r="G70" i="61"/>
  <c r="G71" i="61"/>
  <c r="G72" i="61"/>
  <c r="G73" i="61"/>
  <c r="G74" i="61"/>
  <c r="G75" i="61"/>
  <c r="G76" i="61"/>
  <c r="G77" i="61"/>
  <c r="G78" i="61"/>
  <c r="G79" i="61"/>
  <c r="G80" i="61"/>
  <c r="G81" i="61"/>
  <c r="G82" i="61"/>
  <c r="G83" i="61"/>
  <c r="G84" i="61"/>
  <c r="G85" i="61"/>
  <c r="G86" i="61"/>
  <c r="G87" i="61"/>
  <c r="G88" i="61"/>
  <c r="G89" i="61"/>
  <c r="G90" i="61"/>
  <c r="G91" i="61"/>
  <c r="G92" i="61"/>
  <c r="G93" i="61"/>
  <c r="G94" i="61"/>
  <c r="G95" i="61"/>
  <c r="G96" i="61"/>
  <c r="G97" i="61"/>
  <c r="G98" i="61"/>
  <c r="G99" i="61"/>
  <c r="G100" i="61"/>
  <c r="G101" i="61"/>
  <c r="G102" i="61"/>
  <c r="G103" i="61"/>
  <c r="G2" i="61"/>
</calcChain>
</file>

<file path=xl/sharedStrings.xml><?xml version="1.0" encoding="utf-8"?>
<sst xmlns="http://schemas.openxmlformats.org/spreadsheetml/2006/main" count="226" uniqueCount="26">
  <si>
    <t>Month</t>
  </si>
  <si>
    <t>273114</t>
  </si>
  <si>
    <t>273115</t>
  </si>
  <si>
    <t>VA Acc</t>
  </si>
  <si>
    <t>Row Labels</t>
  </si>
  <si>
    <t>(blank)</t>
  </si>
  <si>
    <t>Grand Total</t>
  </si>
  <si>
    <t>Column Labels</t>
  </si>
  <si>
    <t>Count of Document Number</t>
  </si>
  <si>
    <t>(All)</t>
  </si>
  <si>
    <t>Week 2</t>
  </si>
  <si>
    <t>Week 4</t>
  </si>
  <si>
    <t>Week 5</t>
  </si>
  <si>
    <t>Document Number</t>
  </si>
  <si>
    <t>G/L Account</t>
  </si>
  <si>
    <t>User Name</t>
  </si>
  <si>
    <t>Amount in local currency</t>
  </si>
  <si>
    <t>Document Header Text</t>
  </si>
  <si>
    <t>Date</t>
  </si>
  <si>
    <t>Week Number</t>
  </si>
  <si>
    <t>Quarter</t>
  </si>
  <si>
    <t>August</t>
  </si>
  <si>
    <t>Sum of Amount in local currency</t>
  </si>
  <si>
    <t xml:space="preserve">Tittle : Daily Report by Amount </t>
  </si>
  <si>
    <t>SITIBOT</t>
  </si>
  <si>
    <t>0100FIAR7009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</si>
</sst>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 applyFill="1" applyAlignment="1" applyProtection="1"/>
    <xf numFmtId="1" fontId="0" fillId="0" borderId="0" xfId="0" applyNumberFormat="1" applyFill="1" applyAlignment="1" applyProtection="1"/>
    <xf numFmtId="22" fontId="0" fillId="0" borderId="0" xfId="0" applyNumberFormat="1" applyFill="1" applyAlignment="1" applyProtection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Fill="1" applyAlignment="1" applyProtection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lockText="1" noThreeD="1"/>
</file>

<file path=xl/ctrlProps/ctrlProp7.xml><?xml version="1.0" encoding="utf-8"?>
<formControlPr xmlns="http://schemas.microsoft.com/office/spreadsheetml/2009/9/main" objectType="Radio" checked="Checked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Radio" firstButton="1" lockText="1" noThreeD="1"/>
</file>

<file path=xl/ctrlProps/ctrlProp14.xml><?xml version="1.0" encoding="utf-8"?>
<formControlPr xmlns="http://schemas.microsoft.com/office/spreadsheetml/2009/9/main" objectType="Radio" checked="Checked" lockText="1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checked="Checked" firstButton="1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GBox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Radio" firstButton="1" lockText="1" noThreeD="1"/>
</file>

<file path=xl/ctrlProps/ctrlProp25.xml><?xml version="1.0" encoding="utf-8"?>
<formControlPr xmlns="http://schemas.microsoft.com/office/spreadsheetml/2009/9/main" objectType="Radio" checked="Checked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3</xdr:row>
          <xdr:rowOff>47625</xdr:rowOff>
        </xdr:from>
        <xdr:to>
          <xdr:col>4</xdr:col>
          <xdr:colOff>47625</xdr:colOff>
          <xdr:row>4</xdr:row>
          <xdr:rowOff>114300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5</xdr:row>
          <xdr:rowOff>38100</xdr:rowOff>
        </xdr:from>
        <xdr:to>
          <xdr:col>3</xdr:col>
          <xdr:colOff>219075</xdr:colOff>
          <xdr:row>6</xdr:row>
          <xdr:rowOff>85725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4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7</xdr:row>
          <xdr:rowOff>47625</xdr:rowOff>
        </xdr:from>
        <xdr:to>
          <xdr:col>3</xdr:col>
          <xdr:colOff>219075</xdr:colOff>
          <xdr:row>8</xdr:row>
          <xdr:rowOff>85725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9</xdr:row>
          <xdr:rowOff>28575</xdr:rowOff>
        </xdr:from>
        <xdr:to>
          <xdr:col>3</xdr:col>
          <xdr:colOff>352425</xdr:colOff>
          <xdr:row>10</xdr:row>
          <xdr:rowOff>104775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2</xdr:row>
          <xdr:rowOff>85725</xdr:rowOff>
        </xdr:from>
        <xdr:to>
          <xdr:col>5</xdr:col>
          <xdr:colOff>9525</xdr:colOff>
          <xdr:row>14</xdr:row>
          <xdr:rowOff>133350</xdr:rowOff>
        </xdr:to>
        <xdr:sp macro="" textlink="">
          <xdr:nvSpPr>
            <xdr:cNvPr id="4108" name="Group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3</xdr:row>
          <xdr:rowOff>47625</xdr:rowOff>
        </xdr:from>
        <xdr:to>
          <xdr:col>11</xdr:col>
          <xdr:colOff>47625</xdr:colOff>
          <xdr:row>4</xdr:row>
          <xdr:rowOff>114300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4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5</xdr:row>
          <xdr:rowOff>38100</xdr:rowOff>
        </xdr:from>
        <xdr:to>
          <xdr:col>10</xdr:col>
          <xdr:colOff>219075</xdr:colOff>
          <xdr:row>6</xdr:row>
          <xdr:rowOff>85725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4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7</xdr:row>
          <xdr:rowOff>47625</xdr:rowOff>
        </xdr:from>
        <xdr:to>
          <xdr:col>10</xdr:col>
          <xdr:colOff>219075</xdr:colOff>
          <xdr:row>8</xdr:row>
          <xdr:rowOff>85725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4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9</xdr:row>
          <xdr:rowOff>28575</xdr:rowOff>
        </xdr:from>
        <xdr:to>
          <xdr:col>10</xdr:col>
          <xdr:colOff>352425</xdr:colOff>
          <xdr:row>10</xdr:row>
          <xdr:rowOff>104775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2</xdr:row>
          <xdr:rowOff>85725</xdr:rowOff>
        </xdr:from>
        <xdr:to>
          <xdr:col>11</xdr:col>
          <xdr:colOff>533400</xdr:colOff>
          <xdr:row>14</xdr:row>
          <xdr:rowOff>104775</xdr:rowOff>
        </xdr:to>
        <xdr:sp macro="" textlink="">
          <xdr:nvSpPr>
            <xdr:cNvPr id="4113" name="Group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Report 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66675</xdr:rowOff>
        </xdr:from>
        <xdr:to>
          <xdr:col>12</xdr:col>
          <xdr:colOff>514350</xdr:colOff>
          <xdr:row>16</xdr:row>
          <xdr:rowOff>28575</xdr:rowOff>
        </xdr:to>
        <xdr:sp macro="" textlink="">
          <xdr:nvSpPr>
            <xdr:cNvPr id="4114" name="Group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Account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438150</xdr:colOff>
          <xdr:row>16</xdr:row>
          <xdr:rowOff>180975</xdr:rowOff>
        </xdr:from>
        <xdr:to>
          <xdr:col>12</xdr:col>
          <xdr:colOff>19050</xdr:colOff>
          <xdr:row>32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4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User ID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19</xdr:row>
          <xdr:rowOff>66675</xdr:rowOff>
        </xdr:from>
        <xdr:to>
          <xdr:col>5</xdr:col>
          <xdr:colOff>161925</xdr:colOff>
          <xdr:row>21</xdr:row>
          <xdr:rowOff>95250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4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Report-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21</xdr:row>
          <xdr:rowOff>180975</xdr:rowOff>
        </xdr:from>
        <xdr:to>
          <xdr:col>4</xdr:col>
          <xdr:colOff>514350</xdr:colOff>
          <xdr:row>23</xdr:row>
          <xdr:rowOff>161925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4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24</xdr:row>
          <xdr:rowOff>85725</xdr:rowOff>
        </xdr:from>
        <xdr:to>
          <xdr:col>6</xdr:col>
          <xdr:colOff>47625</xdr:colOff>
          <xdr:row>25</xdr:row>
          <xdr:rowOff>142875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4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485775</xdr:colOff>
          <xdr:row>26</xdr:row>
          <xdr:rowOff>76200</xdr:rowOff>
        </xdr:from>
        <xdr:to>
          <xdr:col>5</xdr:col>
          <xdr:colOff>190500</xdr:colOff>
          <xdr:row>28</xdr:row>
          <xdr:rowOff>47625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4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Report-Volume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314325</xdr:colOff>
          <xdr:row>3</xdr:row>
          <xdr:rowOff>0</xdr:rowOff>
        </xdr:from>
        <xdr:to>
          <xdr:col>16</xdr:col>
          <xdr:colOff>542925</xdr:colOff>
          <xdr:row>5</xdr:row>
          <xdr:rowOff>85725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4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Click This to Add Date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333375</xdr:colOff>
          <xdr:row>5</xdr:row>
          <xdr:rowOff>142875</xdr:rowOff>
        </xdr:from>
        <xdr:to>
          <xdr:col>16</xdr:col>
          <xdr:colOff>542925</xdr:colOff>
          <xdr:row>7</xdr:row>
          <xdr:rowOff>47625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4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Populate Week Month and Quarter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466725</xdr:colOff>
          <xdr:row>11</xdr:row>
          <xdr:rowOff>28575</xdr:rowOff>
        </xdr:from>
        <xdr:to>
          <xdr:col>3</xdr:col>
          <xdr:colOff>161925</xdr:colOff>
          <xdr:row>12</xdr:row>
          <xdr:rowOff>66675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4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11</xdr:row>
          <xdr:rowOff>28575</xdr:rowOff>
        </xdr:from>
        <xdr:to>
          <xdr:col>10</xdr:col>
          <xdr:colOff>285750</xdr:colOff>
          <xdr:row>12</xdr:row>
          <xdr:rowOff>66675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4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28</xdr:row>
          <xdr:rowOff>104775</xdr:rowOff>
        </xdr:from>
        <xdr:to>
          <xdr:col>5</xdr:col>
          <xdr:colOff>104775</xdr:colOff>
          <xdr:row>29</xdr:row>
          <xdr:rowOff>142875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4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19</xdr:row>
          <xdr:rowOff>19050</xdr:rowOff>
        </xdr:from>
        <xdr:to>
          <xdr:col>5</xdr:col>
          <xdr:colOff>600075</xdr:colOff>
          <xdr:row>31</xdr:row>
          <xdr:rowOff>104775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4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Volume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18</xdr:row>
          <xdr:rowOff>180975</xdr:rowOff>
        </xdr:from>
        <xdr:to>
          <xdr:col>11</xdr:col>
          <xdr:colOff>28575</xdr:colOff>
          <xdr:row>31</xdr:row>
          <xdr:rowOff>123825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4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By Amount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581025</xdr:colOff>
          <xdr:row>20</xdr:row>
          <xdr:rowOff>66675</xdr:rowOff>
        </xdr:from>
        <xdr:to>
          <xdr:col>9</xdr:col>
          <xdr:colOff>457200</xdr:colOff>
          <xdr:row>21</xdr:row>
          <xdr:rowOff>104775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4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Daily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571500</xdr:colOff>
          <xdr:row>22</xdr:row>
          <xdr:rowOff>76200</xdr:rowOff>
        </xdr:from>
        <xdr:to>
          <xdr:col>9</xdr:col>
          <xdr:colOff>295275</xdr:colOff>
          <xdr:row>23</xdr:row>
          <xdr:rowOff>95250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4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Weekly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24</xdr:row>
          <xdr:rowOff>66675</xdr:rowOff>
        </xdr:from>
        <xdr:to>
          <xdr:col>9</xdr:col>
          <xdr:colOff>409575</xdr:colOff>
          <xdr:row>25</xdr:row>
          <xdr:rowOff>104775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4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Monthly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26</xdr:row>
          <xdr:rowOff>85725</xdr:rowOff>
        </xdr:from>
        <xdr:to>
          <xdr:col>9</xdr:col>
          <xdr:colOff>352425</xdr:colOff>
          <xdr:row>27</xdr:row>
          <xdr:rowOff>123825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4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Quarterly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28</xdr:row>
          <xdr:rowOff>66675</xdr:rowOff>
        </xdr:from>
        <xdr:to>
          <xdr:col>9</xdr:col>
          <xdr:colOff>409575</xdr:colOff>
          <xdr:row>29</xdr:row>
          <xdr:rowOff>104775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4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MY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Yearly Report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itriRasyidah" refreshedDate="44050.719199305553" createdVersion="6" refreshedVersion="6" minRefreshableVersion="3" recordCount="143" xr:uid="{051610DA-111A-4090-A84D-C64EC6347D1F}">
  <cacheSource type="worksheet">
    <worksheetSource ref="A1:I1048576" sheet="Sheet1"/>
  </cacheSource>
  <cacheFields count="9">
    <cacheField name="Document Number" numFmtId="0">
      <sharedItems containsBlank="1" containsMixedTypes="1" containsNumber="1" containsInteger="1" minValue="2000051130" maxValue="2800035598"/>
    </cacheField>
    <cacheField name="G/L Account" numFmtId="0">
      <sharedItems containsBlank="1" containsMixedTypes="1" containsNumber="1" containsInteger="1" minValue="273114" maxValue="273115" count="6">
        <n v="273114"/>
        <n v="273115"/>
        <m/>
        <s v="273114"/>
        <s v="273115"/>
        <s v="VA Acc"/>
      </sharedItems>
    </cacheField>
    <cacheField name="User Name" numFmtId="0">
      <sharedItems containsBlank="1"/>
    </cacheField>
    <cacheField name="Amount in local currency" numFmtId="0">
      <sharedItems containsString="0" containsBlank="1" containsNumber="1" minValue="-51607.82" maxValue="9139.85"/>
    </cacheField>
    <cacheField name="Document Header Text" numFmtId="0">
      <sharedItems containsNonDate="0" containsString="0" containsBlank="1"/>
    </cacheField>
    <cacheField name="Date" numFmtId="0">
      <sharedItems containsNonDate="0" containsDate="1" containsString="0" containsBlank="1" minDate="2020-01-22T00:00:00" maxDate="2020-08-07T17:14:36"/>
    </cacheField>
    <cacheField name="Month" numFmtId="0">
      <sharedItems containsBlank="1" count="4">
        <s v="July"/>
        <s v="January"/>
        <s v="August"/>
        <m/>
      </sharedItems>
    </cacheField>
    <cacheField name="Week Number" numFmtId="0">
      <sharedItems containsBlank="1" count="4">
        <s v="Week 4"/>
        <s v="Week 5"/>
        <s v="Week 2"/>
        <m/>
      </sharedItems>
    </cacheField>
    <cacheField name="Quarter" numFmtId="1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tiBot" refreshedDate="44082.463506365741" createdVersion="6" refreshedVersion="6" minRefreshableVersion="3" recordCount="6" xr:uid="{C1824E94-4CF6-4867-99D8-C8176F18F878}">
  <cacheSource type="worksheet">
    <worksheetSource ref="A1:H1048576" sheet="Sheet1"/>
  </cacheSource>
  <cacheFields count="8">
    <cacheField name="Document Number" numFmtId="0">
      <sharedItems containsString="0" containsBlank="1" containsNumber="1" containsInteger="1" minValue="2800000346" maxValue="2800000349"/>
    </cacheField>
    <cacheField name="G/L Account" numFmtId="0">
      <sharedItems containsString="0" containsBlank="1" containsNumber="1" containsInteger="1" minValue="271151" maxValue="273116" count="4">
        <n v="271151"/>
        <n v="273114"/>
        <n v="273116"/>
        <m/>
      </sharedItems>
    </cacheField>
    <cacheField name="User Name" numFmtId="0">
      <sharedItems containsBlank="1"/>
    </cacheField>
    <cacheField name="Amount in local currency" numFmtId="0">
      <sharedItems containsString="0" containsBlank="1" containsNumber="1" minValue="21.2" maxValue="1250.3"/>
    </cacheField>
    <cacheField name="Document Header Text" numFmtId="0">
      <sharedItems containsNonDate="0" containsString="0" containsBlank="1"/>
    </cacheField>
    <cacheField name="Date" numFmtId="0">
      <sharedItems containsNonDate="0" containsDate="1" containsString="0" containsBlank="1" minDate="2020-08-09T00:00:00" maxDate="2020-08-10T00:00:00"/>
    </cacheField>
    <cacheField name="Month" numFmtId="0">
      <sharedItems containsBlank="1" count="2">
        <s v="August"/>
        <m/>
      </sharedItems>
    </cacheField>
    <cacheField name="Week Numbe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">
  <r>
    <n v="2800035368"/>
    <x v="0"/>
    <s v="0100FIAR7001"/>
    <n v="8174.1"/>
    <m/>
    <d v="2020-07-19T00:00:00"/>
    <x v="0"/>
    <x v="0"/>
    <s v="Quarter 3"/>
  </r>
  <r>
    <n v="2800035372"/>
    <x v="0"/>
    <s v="0100FIAR7001"/>
    <n v="561.85"/>
    <m/>
    <d v="2020-07-19T00:00:00"/>
    <x v="0"/>
    <x v="0"/>
    <s v="Quarter 3"/>
  </r>
  <r>
    <n v="2800035373"/>
    <x v="0"/>
    <s v="0100FIAR7001"/>
    <n v="68.8"/>
    <m/>
    <d v="2020-07-19T00:00:00"/>
    <x v="0"/>
    <x v="0"/>
    <s v="Quarter 3"/>
  </r>
  <r>
    <n v="2800035473"/>
    <x v="0"/>
    <s v="0100FIAR7001"/>
    <n v="223.15"/>
    <m/>
    <d v="2020-07-19T00:00:00"/>
    <x v="0"/>
    <x v="0"/>
    <s v="Quarter 3"/>
  </r>
  <r>
    <n v="2800035598"/>
    <x v="1"/>
    <s v="0100FIAR7001"/>
    <n v="111.95"/>
    <m/>
    <d v="2020-07-19T00:00:00"/>
    <x v="0"/>
    <x v="0"/>
    <s v="Quarter 3"/>
  </r>
  <r>
    <m/>
    <x v="2"/>
    <m/>
    <n v="9139.85"/>
    <m/>
    <d v="2020-07-19T00:00:00"/>
    <x v="0"/>
    <x v="0"/>
    <s v="Quarter 3"/>
  </r>
  <r>
    <n v="2800035368"/>
    <x v="0"/>
    <s v="0100FIAR7001"/>
    <n v="8174.1"/>
    <m/>
    <d v="2020-07-19T00:00:00"/>
    <x v="0"/>
    <x v="0"/>
    <s v="Quarter 3"/>
  </r>
  <r>
    <n v="2800035372"/>
    <x v="0"/>
    <s v="0100FIAR7001"/>
    <n v="561.85"/>
    <m/>
    <d v="2020-07-19T00:00:00"/>
    <x v="0"/>
    <x v="0"/>
    <s v="Quarter 3"/>
  </r>
  <r>
    <n v="2800035373"/>
    <x v="0"/>
    <s v="0100FIAR7001"/>
    <n v="68.8"/>
    <m/>
    <d v="2020-07-19T00:00:00"/>
    <x v="0"/>
    <x v="0"/>
    <s v="Quarter 3"/>
  </r>
  <r>
    <n v="2800035473"/>
    <x v="0"/>
    <s v="0100FIAR7001"/>
    <n v="223.15"/>
    <m/>
    <d v="2020-07-19T00:00:00"/>
    <x v="0"/>
    <x v="0"/>
    <s v="Quarter 3"/>
  </r>
  <r>
    <n v="2800035598"/>
    <x v="1"/>
    <s v="0100FIAR7001"/>
    <n v="111.95"/>
    <m/>
    <d v="2020-07-19T00:00:00"/>
    <x v="0"/>
    <x v="0"/>
    <s v="Quarter 3"/>
  </r>
  <r>
    <m/>
    <x v="2"/>
    <m/>
    <n v="9139.85"/>
    <m/>
    <d v="2020-07-19T00:00:00"/>
    <x v="0"/>
    <x v="0"/>
    <s v="Quarter 3"/>
  </r>
  <r>
    <n v="2800035368"/>
    <x v="0"/>
    <s v="0100FIAR7001"/>
    <n v="8174.1"/>
    <m/>
    <d v="2020-07-31T00:00:00"/>
    <x v="0"/>
    <x v="1"/>
    <s v="Quarter 3"/>
  </r>
  <r>
    <n v="2800035372"/>
    <x v="0"/>
    <s v="0100FIAR7001"/>
    <n v="561.85"/>
    <m/>
    <d v="2020-07-31T00:00:00"/>
    <x v="0"/>
    <x v="1"/>
    <s v="Quarter 3"/>
  </r>
  <r>
    <n v="2800035373"/>
    <x v="0"/>
    <s v="0100FIAR7001"/>
    <n v="68.8"/>
    <m/>
    <d v="2020-07-31T00:00:00"/>
    <x v="0"/>
    <x v="1"/>
    <s v="Quarter 3"/>
  </r>
  <r>
    <n v="2800035473"/>
    <x v="0"/>
    <s v="0100FIAR7001"/>
    <n v="223.15"/>
    <m/>
    <d v="2020-07-31T00:00:00"/>
    <x v="0"/>
    <x v="1"/>
    <s v="Quarter 3"/>
  </r>
  <r>
    <n v="2800035598"/>
    <x v="1"/>
    <s v="0100FIAR7001"/>
    <n v="111.95"/>
    <m/>
    <d v="2020-07-31T00:00:00"/>
    <x v="0"/>
    <x v="1"/>
    <s v="Quarter 3"/>
  </r>
  <r>
    <m/>
    <x v="2"/>
    <m/>
    <n v="9139.85"/>
    <m/>
    <d v="2020-07-31T00:00:00"/>
    <x v="0"/>
    <x v="1"/>
    <s v="Quarter 3"/>
  </r>
  <r>
    <n v="2800035368"/>
    <x v="0"/>
    <s v="0100FIAR7001"/>
    <n v="8174.1"/>
    <m/>
    <d v="2020-07-31T00:00:00"/>
    <x v="0"/>
    <x v="1"/>
    <s v="Quarter 3"/>
  </r>
  <r>
    <n v="2800035372"/>
    <x v="0"/>
    <s v="0100FIAR7001"/>
    <n v="561.85"/>
    <m/>
    <d v="2020-07-31T00:00:00"/>
    <x v="0"/>
    <x v="1"/>
    <s v="Quarter 3"/>
  </r>
  <r>
    <n v="2800035373"/>
    <x v="0"/>
    <s v="0100FIAR7001"/>
    <n v="68.8"/>
    <m/>
    <d v="2020-07-31T00:00:00"/>
    <x v="0"/>
    <x v="1"/>
    <s v="Quarter 3"/>
  </r>
  <r>
    <n v="2800035473"/>
    <x v="0"/>
    <s v="0100FIAR7001"/>
    <n v="223.15"/>
    <m/>
    <d v="2020-07-31T00:00:00"/>
    <x v="0"/>
    <x v="1"/>
    <s v="Quarter 3"/>
  </r>
  <r>
    <n v="2800035598"/>
    <x v="1"/>
    <s v="0100FIAR7001"/>
    <n v="111.95"/>
    <m/>
    <d v="2020-07-31T00:00:00"/>
    <x v="0"/>
    <x v="1"/>
    <s v="Quarter 3"/>
  </r>
  <r>
    <m/>
    <x v="2"/>
    <m/>
    <n v="9139.85"/>
    <m/>
    <d v="2020-07-31T00:00:00"/>
    <x v="0"/>
    <x v="1"/>
    <s v="Quarter 3"/>
  </r>
  <r>
    <n v="2800035368"/>
    <x v="0"/>
    <s v="0100FIAR7001"/>
    <n v="8174.1"/>
    <m/>
    <d v="2020-01-22T00:00:00"/>
    <x v="1"/>
    <x v="0"/>
    <s v="Quarter 1"/>
  </r>
  <r>
    <n v="2800035372"/>
    <x v="0"/>
    <s v="0100FIAR7001"/>
    <n v="561.85"/>
    <m/>
    <d v="2020-01-22T00:00:00"/>
    <x v="1"/>
    <x v="0"/>
    <s v="Quarter 1"/>
  </r>
  <r>
    <n v="2800035373"/>
    <x v="0"/>
    <s v="0100FIAR7001"/>
    <n v="68.8"/>
    <m/>
    <d v="2020-01-22T00:00:00"/>
    <x v="1"/>
    <x v="0"/>
    <s v="Quarter 1"/>
  </r>
  <r>
    <n v="2800035473"/>
    <x v="0"/>
    <s v="0100FIAR7001"/>
    <n v="223.15"/>
    <m/>
    <d v="2020-01-22T00:00:00"/>
    <x v="1"/>
    <x v="0"/>
    <s v="Quarter 1"/>
  </r>
  <r>
    <n v="2800035598"/>
    <x v="1"/>
    <s v="0100FIAR7001"/>
    <n v="111.95"/>
    <m/>
    <d v="2020-01-22T00:00:00"/>
    <x v="1"/>
    <x v="0"/>
    <s v="Quarter 1"/>
  </r>
  <r>
    <s v="2800035368"/>
    <x v="3"/>
    <s v="0100FIAR7001"/>
    <n v="8174.1"/>
    <m/>
    <d v="2020-08-07T17:14:36"/>
    <x v="2"/>
    <x v="2"/>
    <s v="Quarter 3"/>
  </r>
  <r>
    <s v="2800035372"/>
    <x v="3"/>
    <s v="0100FIAR7001"/>
    <n v="561.85"/>
    <m/>
    <d v="2020-08-07T17:14:36"/>
    <x v="2"/>
    <x v="2"/>
    <s v="Quarter 3"/>
  </r>
  <r>
    <s v="2800035373"/>
    <x v="3"/>
    <s v="0100FIAR7001"/>
    <n v="68.8"/>
    <m/>
    <d v="2020-08-07T17:14:36"/>
    <x v="2"/>
    <x v="2"/>
    <s v="Quarter 3"/>
  </r>
  <r>
    <s v="2800035473"/>
    <x v="3"/>
    <s v="0100FIAR7001"/>
    <n v="223.15"/>
    <m/>
    <d v="2020-08-07T17:14:36"/>
    <x v="2"/>
    <x v="2"/>
    <s v="Quarter 3"/>
  </r>
  <r>
    <s v="2800035598"/>
    <x v="4"/>
    <s v="0100FIAR7001"/>
    <n v="111.95"/>
    <m/>
    <d v="2020-08-07T17:14:36"/>
    <x v="2"/>
    <x v="2"/>
    <s v="Quarter 3"/>
  </r>
  <r>
    <m/>
    <x v="2"/>
    <m/>
    <n v="9139.85"/>
    <m/>
    <d v="2020-08-07T17:14:36"/>
    <x v="2"/>
    <x v="2"/>
    <s v="Quarter 3"/>
  </r>
  <r>
    <n v="2000051411"/>
    <x v="5"/>
    <s v="0100FIAR7007"/>
    <n v="-18.899999999999999"/>
    <m/>
    <d v="2020-08-07T17:14:36"/>
    <x v="2"/>
    <x v="2"/>
    <s v="Quarter 3"/>
  </r>
  <r>
    <n v="2000051412"/>
    <x v="5"/>
    <s v="0100FIAR7007"/>
    <n v="-61.3"/>
    <m/>
    <d v="2020-08-07T17:14:36"/>
    <x v="2"/>
    <x v="2"/>
    <s v="Quarter 3"/>
  </r>
  <r>
    <n v="2000051397"/>
    <x v="5"/>
    <s v="0100FIAR7007"/>
    <n v="-284.3"/>
    <m/>
    <d v="2020-08-07T17:14:36"/>
    <x v="2"/>
    <x v="2"/>
    <s v="Quarter 3"/>
  </r>
  <r>
    <n v="2000051398"/>
    <x v="5"/>
    <s v="0100FIAR7007"/>
    <n v="-27.65"/>
    <m/>
    <d v="2020-08-07T17:14:36"/>
    <x v="2"/>
    <x v="2"/>
    <s v="Quarter 3"/>
  </r>
  <r>
    <n v="2000051399"/>
    <x v="5"/>
    <s v="0100FIAR7007"/>
    <n v="-1034.3499999999999"/>
    <m/>
    <d v="2020-08-07T17:14:36"/>
    <x v="2"/>
    <x v="2"/>
    <s v="Quarter 3"/>
  </r>
  <r>
    <n v="2000051400"/>
    <x v="5"/>
    <s v="0100FIAR7007"/>
    <n v="-229.55"/>
    <m/>
    <d v="2020-08-07T17:14:36"/>
    <x v="2"/>
    <x v="2"/>
    <s v="Quarter 3"/>
  </r>
  <r>
    <n v="2000051401"/>
    <x v="5"/>
    <s v="0100FIAR7007"/>
    <n v="-210.2"/>
    <m/>
    <d v="2020-08-07T17:14:36"/>
    <x v="2"/>
    <x v="2"/>
    <s v="Quarter 3"/>
  </r>
  <r>
    <n v="2000051402"/>
    <x v="5"/>
    <s v="0100FIAR7007"/>
    <n v="-62"/>
    <m/>
    <d v="2020-08-07T17:14:36"/>
    <x v="2"/>
    <x v="2"/>
    <s v="Quarter 3"/>
  </r>
  <r>
    <n v="2000051403"/>
    <x v="5"/>
    <s v="0100FIAR7007"/>
    <n v="-618.25"/>
    <m/>
    <d v="2020-08-07T17:14:36"/>
    <x v="2"/>
    <x v="2"/>
    <s v="Quarter 3"/>
  </r>
  <r>
    <n v="2000051406"/>
    <x v="5"/>
    <s v="0100FIAR7007"/>
    <n v="-201.55"/>
    <m/>
    <d v="2020-08-07T17:14:36"/>
    <x v="2"/>
    <x v="2"/>
    <s v="Quarter 3"/>
  </r>
  <r>
    <n v="2000051407"/>
    <x v="5"/>
    <s v="0100FIAR7007"/>
    <n v="-266.5"/>
    <m/>
    <d v="2020-08-07T17:14:36"/>
    <x v="2"/>
    <x v="2"/>
    <s v="Quarter 3"/>
  </r>
  <r>
    <n v="2000051407"/>
    <x v="5"/>
    <s v="0100FIAR7007"/>
    <n v="-230.5"/>
    <m/>
    <d v="2020-08-07T17:14:36"/>
    <x v="2"/>
    <x v="2"/>
    <s v="Quarter 3"/>
  </r>
  <r>
    <n v="2000051408"/>
    <x v="5"/>
    <s v="0100FIAR7007"/>
    <n v="-15.4"/>
    <m/>
    <d v="2020-08-07T17:14:36"/>
    <x v="2"/>
    <x v="2"/>
    <s v="Quarter 3"/>
  </r>
  <r>
    <n v="2000051409"/>
    <x v="5"/>
    <s v="0100FIAR7007"/>
    <n v="-74.2"/>
    <m/>
    <d v="2020-08-07T17:14:36"/>
    <x v="2"/>
    <x v="2"/>
    <s v="Quarter 3"/>
  </r>
  <r>
    <n v="2000051410"/>
    <x v="5"/>
    <s v="0100FIAR7007"/>
    <n v="-909.14"/>
    <m/>
    <d v="2020-08-07T17:14:36"/>
    <x v="2"/>
    <x v="2"/>
    <s v="Quarter 3"/>
  </r>
  <r>
    <n v="2000051175"/>
    <x v="5"/>
    <s v="0104FIAC7005"/>
    <n v="-115.4"/>
    <m/>
    <d v="2020-08-07T17:14:36"/>
    <x v="2"/>
    <x v="2"/>
    <s v="Quarter 3"/>
  </r>
  <r>
    <n v="2000051543"/>
    <x v="5"/>
    <s v="0100FIAR3004"/>
    <n v="-6.3"/>
    <m/>
    <d v="2020-08-07T17:14:36"/>
    <x v="2"/>
    <x v="2"/>
    <s v="Quarter 3"/>
  </r>
  <r>
    <n v="2000051245"/>
    <x v="5"/>
    <s v="0104FIAC7005"/>
    <n v="-12.65"/>
    <m/>
    <d v="2020-08-07T17:14:36"/>
    <x v="2"/>
    <x v="2"/>
    <s v="Quarter 3"/>
  </r>
  <r>
    <n v="2000051171"/>
    <x v="5"/>
    <s v="0112FIAC7003"/>
    <n v="-700.4"/>
    <m/>
    <d v="2020-08-07T17:14:36"/>
    <x v="2"/>
    <x v="2"/>
    <s v="Quarter 3"/>
  </r>
  <r>
    <n v="2000051415"/>
    <x v="5"/>
    <s v="0100FIAR7007"/>
    <n v="-277.7"/>
    <m/>
    <d v="2020-08-07T17:14:36"/>
    <x v="2"/>
    <x v="2"/>
    <s v="Quarter 3"/>
  </r>
  <r>
    <n v="2000051416"/>
    <x v="5"/>
    <s v="0100FIAR7007"/>
    <n v="-62.35"/>
    <m/>
    <d v="2020-08-07T17:14:36"/>
    <x v="2"/>
    <x v="2"/>
    <s v="Quarter 3"/>
  </r>
  <r>
    <n v="2000051417"/>
    <x v="5"/>
    <s v="0100FIAR7007"/>
    <n v="-256.2"/>
    <m/>
    <d v="2020-08-07T17:14:36"/>
    <x v="2"/>
    <x v="2"/>
    <s v="Quarter 3"/>
  </r>
  <r>
    <n v="2000051418"/>
    <x v="5"/>
    <s v="0100FIAR7007"/>
    <n v="-331.85"/>
    <m/>
    <d v="2020-08-07T17:14:36"/>
    <x v="2"/>
    <x v="2"/>
    <s v="Quarter 3"/>
  </r>
  <r>
    <n v="2000051321"/>
    <x v="5"/>
    <s v="0103FIAC7010"/>
    <n v="-56.84"/>
    <m/>
    <d v="2020-08-07T17:14:36"/>
    <x v="2"/>
    <x v="2"/>
    <s v="Quarter 3"/>
  </r>
  <r>
    <n v="2000051419"/>
    <x v="5"/>
    <s v="0100FIAR7007"/>
    <n v="-388.25"/>
    <m/>
    <d v="2020-08-07T17:14:36"/>
    <x v="2"/>
    <x v="2"/>
    <s v="Quarter 3"/>
  </r>
  <r>
    <n v="2000051420"/>
    <x v="5"/>
    <s v="0100FIAR7007"/>
    <n v="-80"/>
    <m/>
    <d v="2020-08-07T17:14:36"/>
    <x v="2"/>
    <x v="2"/>
    <s v="Quarter 3"/>
  </r>
  <r>
    <n v="2000051421"/>
    <x v="5"/>
    <s v="0100FIAR7007"/>
    <n v="-572.04999999999995"/>
    <m/>
    <d v="2020-08-07T17:14:36"/>
    <x v="2"/>
    <x v="2"/>
    <s v="Quarter 3"/>
  </r>
  <r>
    <n v="2000051422"/>
    <x v="5"/>
    <s v="0100FIAR7007"/>
    <n v="-1174.75"/>
    <m/>
    <d v="2020-08-07T17:14:36"/>
    <x v="2"/>
    <x v="2"/>
    <s v="Quarter 3"/>
  </r>
  <r>
    <n v="2000051423"/>
    <x v="5"/>
    <s v="0100FIAR7007"/>
    <n v="-1469.4"/>
    <m/>
    <d v="2020-08-07T17:14:36"/>
    <x v="2"/>
    <x v="2"/>
    <s v="Quarter 3"/>
  </r>
  <r>
    <n v="2000051424"/>
    <x v="5"/>
    <s v="0100FIAR7007"/>
    <n v="-753.25"/>
    <m/>
    <d v="2020-08-07T17:14:36"/>
    <x v="2"/>
    <x v="2"/>
    <s v="Quarter 3"/>
  </r>
  <r>
    <n v="2000051425"/>
    <x v="5"/>
    <s v="0100FIAR7007"/>
    <n v="-388.5"/>
    <m/>
    <d v="2020-08-07T17:14:36"/>
    <x v="2"/>
    <x v="2"/>
    <s v="Quarter 3"/>
  </r>
  <r>
    <n v="2000051425"/>
    <x v="5"/>
    <s v="0100FIAR7007"/>
    <n v="-118.05"/>
    <m/>
    <d v="2020-08-07T17:14:36"/>
    <x v="2"/>
    <x v="2"/>
    <s v="Quarter 3"/>
  </r>
  <r>
    <n v="2000051426"/>
    <x v="5"/>
    <s v="0100FIAR7007"/>
    <n v="-31.6"/>
    <m/>
    <d v="2020-08-07T17:14:36"/>
    <x v="2"/>
    <x v="2"/>
    <s v="Quarter 3"/>
  </r>
  <r>
    <n v="2000051427"/>
    <x v="5"/>
    <s v="0100FIAR7007"/>
    <n v="-60.05"/>
    <m/>
    <d v="2020-08-07T17:14:36"/>
    <x v="2"/>
    <x v="2"/>
    <s v="Quarter 3"/>
  </r>
  <r>
    <n v="2000051428"/>
    <x v="5"/>
    <s v="0100FIAR7007"/>
    <n v="-199.3"/>
    <m/>
    <d v="2020-08-07T17:14:36"/>
    <x v="2"/>
    <x v="2"/>
    <s v="Quarter 3"/>
  </r>
  <r>
    <n v="2000051429"/>
    <x v="5"/>
    <s v="0100FIAR7007"/>
    <n v="-77.400000000000006"/>
    <m/>
    <d v="2020-08-07T17:14:36"/>
    <x v="2"/>
    <x v="2"/>
    <s v="Quarter 3"/>
  </r>
  <r>
    <n v="2000051281"/>
    <x v="5"/>
    <s v="0114FIAC7007"/>
    <n v="-41.9"/>
    <m/>
    <d v="2020-08-07T17:14:36"/>
    <x v="2"/>
    <x v="2"/>
    <s v="Quarter 3"/>
  </r>
  <r>
    <n v="2000051430"/>
    <x v="5"/>
    <s v="0100FIAR7007"/>
    <n v="-102.3"/>
    <m/>
    <d v="2020-08-07T17:14:36"/>
    <x v="2"/>
    <x v="2"/>
    <s v="Quarter 3"/>
  </r>
  <r>
    <n v="2000051334"/>
    <x v="5"/>
    <s v="0114FIAC7007"/>
    <n v="-57.3"/>
    <m/>
    <d v="2020-08-07T17:14:36"/>
    <x v="2"/>
    <x v="2"/>
    <s v="Quarter 3"/>
  </r>
  <r>
    <n v="2000051169"/>
    <x v="5"/>
    <s v="0104FIAC7005"/>
    <n v="-204.7"/>
    <m/>
    <d v="2020-08-07T17:14:36"/>
    <x v="2"/>
    <x v="2"/>
    <s v="Quarter 3"/>
  </r>
  <r>
    <n v="2000051332"/>
    <x v="5"/>
    <s v="0114FIAC7007"/>
    <n v="-358.65"/>
    <m/>
    <d v="2020-08-07T17:14:36"/>
    <x v="2"/>
    <x v="2"/>
    <s v="Quarter 3"/>
  </r>
  <r>
    <n v="2000051431"/>
    <x v="5"/>
    <s v="0100FIAR7007"/>
    <n v="-56.45"/>
    <m/>
    <d v="2020-08-07T17:14:36"/>
    <x v="2"/>
    <x v="2"/>
    <s v="Quarter 3"/>
  </r>
  <r>
    <n v="2000051432"/>
    <x v="5"/>
    <s v="0100FIAR7007"/>
    <n v="-211.3"/>
    <m/>
    <d v="2020-08-07T17:14:36"/>
    <x v="2"/>
    <x v="2"/>
    <s v="Quarter 3"/>
  </r>
  <r>
    <n v="2000051433"/>
    <x v="5"/>
    <s v="0100FIAR7007"/>
    <n v="-2748.2"/>
    <m/>
    <d v="2020-08-07T17:14:36"/>
    <x v="2"/>
    <x v="2"/>
    <s v="Quarter 3"/>
  </r>
  <r>
    <n v="2000051434"/>
    <x v="5"/>
    <s v="0100FIAR7007"/>
    <n v="-140.35"/>
    <m/>
    <d v="2020-08-07T17:14:36"/>
    <x v="2"/>
    <x v="2"/>
    <s v="Quarter 3"/>
  </r>
  <r>
    <n v="2000051435"/>
    <x v="5"/>
    <s v="0100FIAR7007"/>
    <n v="-152.30000000000001"/>
    <m/>
    <d v="2020-08-07T17:14:36"/>
    <x v="2"/>
    <x v="2"/>
    <s v="Quarter 3"/>
  </r>
  <r>
    <n v="2000051437"/>
    <x v="5"/>
    <s v="0100FIAR7007"/>
    <n v="-303.7"/>
    <m/>
    <d v="2020-08-07T17:14:36"/>
    <x v="2"/>
    <x v="2"/>
    <s v="Quarter 3"/>
  </r>
  <r>
    <n v="2000051438"/>
    <x v="5"/>
    <s v="0100FIAR7007"/>
    <n v="-44.2"/>
    <m/>
    <d v="2020-08-07T17:14:36"/>
    <x v="2"/>
    <x v="2"/>
    <s v="Quarter 3"/>
  </r>
  <r>
    <n v="2000051439"/>
    <x v="5"/>
    <s v="0100FIAR7007"/>
    <n v="-399.05"/>
    <m/>
    <d v="2020-08-07T17:14:36"/>
    <x v="2"/>
    <x v="2"/>
    <s v="Quarter 3"/>
  </r>
  <r>
    <n v="2000051439"/>
    <x v="5"/>
    <s v="0100FIAR7007"/>
    <n v="-497.85"/>
    <m/>
    <d v="2020-08-07T17:14:36"/>
    <x v="2"/>
    <x v="2"/>
    <s v="Quarter 3"/>
  </r>
  <r>
    <n v="2000051440"/>
    <x v="5"/>
    <s v="0100FIAR7007"/>
    <n v="-236.2"/>
    <m/>
    <d v="2020-08-07T17:14:36"/>
    <x v="2"/>
    <x v="2"/>
    <s v="Quarter 3"/>
  </r>
  <r>
    <n v="2000051441"/>
    <x v="5"/>
    <s v="0100FIAR7007"/>
    <n v="-181.9"/>
    <m/>
    <d v="2020-08-07T17:14:36"/>
    <x v="2"/>
    <x v="2"/>
    <s v="Quarter 3"/>
  </r>
  <r>
    <n v="2000051442"/>
    <x v="5"/>
    <s v="0100FIAR7007"/>
    <n v="-217.15"/>
    <m/>
    <d v="2020-08-07T17:14:36"/>
    <x v="2"/>
    <x v="2"/>
    <s v="Quarter 3"/>
  </r>
  <r>
    <n v="2000051443"/>
    <x v="5"/>
    <s v="0100FIAR7007"/>
    <n v="-163.25"/>
    <m/>
    <d v="2020-08-07T17:14:36"/>
    <x v="2"/>
    <x v="2"/>
    <s v="Quarter 3"/>
  </r>
  <r>
    <n v="2000051444"/>
    <x v="5"/>
    <s v="0100FIAR7007"/>
    <n v="-83.7"/>
    <m/>
    <d v="2020-08-07T17:14:36"/>
    <x v="2"/>
    <x v="2"/>
    <s v="Quarter 3"/>
  </r>
  <r>
    <n v="2000051445"/>
    <x v="5"/>
    <s v="0100FIAR7007"/>
    <n v="-163.19999999999999"/>
    <m/>
    <d v="2020-08-07T17:14:36"/>
    <x v="2"/>
    <x v="2"/>
    <s v="Quarter 3"/>
  </r>
  <r>
    <n v="2000051446"/>
    <x v="5"/>
    <s v="0100FIAR7007"/>
    <n v="-1531.2"/>
    <m/>
    <d v="2020-08-07T17:14:36"/>
    <x v="2"/>
    <x v="2"/>
    <s v="Quarter 3"/>
  </r>
  <r>
    <n v="2000051447"/>
    <x v="5"/>
    <s v="0100FIAR7007"/>
    <n v="-306.55"/>
    <m/>
    <d v="2020-08-07T17:14:36"/>
    <x v="2"/>
    <x v="2"/>
    <s v="Quarter 3"/>
  </r>
  <r>
    <n v="2000051448"/>
    <x v="5"/>
    <s v="0100FIAR7007"/>
    <n v="-82.5"/>
    <m/>
    <d v="2020-08-07T17:14:36"/>
    <x v="2"/>
    <x v="2"/>
    <s v="Quarter 3"/>
  </r>
  <r>
    <n v="2000051449"/>
    <x v="5"/>
    <s v="0100FIAR7007"/>
    <n v="-45.15"/>
    <m/>
    <d v="2020-08-07T17:14:36"/>
    <x v="2"/>
    <x v="2"/>
    <s v="Quarter 3"/>
  </r>
  <r>
    <n v="2000051450"/>
    <x v="5"/>
    <s v="0100FIAR7007"/>
    <n v="-103.75"/>
    <m/>
    <d v="2020-08-07T17:14:36"/>
    <x v="2"/>
    <x v="2"/>
    <s v="Quarter 3"/>
  </r>
  <r>
    <n v="2000051451"/>
    <x v="5"/>
    <s v="0100FIAR7007"/>
    <n v="-44.1"/>
    <m/>
    <d v="2020-08-07T17:14:36"/>
    <x v="2"/>
    <x v="2"/>
    <s v="Quarter 3"/>
  </r>
  <r>
    <n v="2000051452"/>
    <x v="5"/>
    <s v="0100FIAR7007"/>
    <n v="-144.9"/>
    <m/>
    <d v="2020-08-07T17:14:36"/>
    <x v="2"/>
    <x v="2"/>
    <s v="Quarter 3"/>
  </r>
  <r>
    <n v="2000051453"/>
    <x v="5"/>
    <s v="0100FIAR7007"/>
    <n v="-194.2"/>
    <m/>
    <d v="2020-08-07T17:14:36"/>
    <x v="2"/>
    <x v="2"/>
    <s v="Quarter 3"/>
  </r>
  <r>
    <n v="2000051454"/>
    <x v="5"/>
    <s v="0100FIAR7007"/>
    <n v="-6882.7"/>
    <m/>
    <d v="2020-08-07T17:14:36"/>
    <x v="2"/>
    <x v="2"/>
    <s v="Quarter 3"/>
  </r>
  <r>
    <n v="2000051455"/>
    <x v="5"/>
    <s v="0100FIAR7007"/>
    <n v="-115.55"/>
    <m/>
    <d v="2020-08-07T17:14:36"/>
    <x v="2"/>
    <x v="2"/>
    <s v="Quarter 3"/>
  </r>
  <r>
    <n v="2000051456"/>
    <x v="5"/>
    <s v="0100FIAR7007"/>
    <n v="-5254.1"/>
    <m/>
    <d v="2020-08-07T17:14:36"/>
    <x v="2"/>
    <x v="2"/>
    <s v="Quarter 3"/>
  </r>
  <r>
    <n v="2000051457"/>
    <x v="5"/>
    <s v="0100FIAR7007"/>
    <n v="-223.25"/>
    <m/>
    <d v="2020-08-07T17:14:36"/>
    <x v="2"/>
    <x v="2"/>
    <s v="Quarter 3"/>
  </r>
  <r>
    <n v="2000051458"/>
    <x v="5"/>
    <s v="0100FIAR7007"/>
    <n v="-236.3"/>
    <m/>
    <d v="2020-08-07T17:14:36"/>
    <x v="2"/>
    <x v="2"/>
    <s v="Quarter 3"/>
  </r>
  <r>
    <n v="2000051459"/>
    <x v="5"/>
    <s v="0100FIAR7007"/>
    <n v="-202.6"/>
    <m/>
    <d v="2020-08-07T17:14:36"/>
    <x v="2"/>
    <x v="2"/>
    <s v="Quarter 3"/>
  </r>
  <r>
    <n v="2000051460"/>
    <x v="5"/>
    <s v="0100FIAR7007"/>
    <n v="-219.75"/>
    <m/>
    <d v="2020-08-07T17:14:36"/>
    <x v="2"/>
    <x v="2"/>
    <s v="Quarter 3"/>
  </r>
  <r>
    <n v="2000051464"/>
    <x v="5"/>
    <s v="0100FIAR7007"/>
    <n v="-68.75"/>
    <m/>
    <d v="2020-08-07T17:14:36"/>
    <x v="2"/>
    <x v="2"/>
    <s v="Quarter 3"/>
  </r>
  <r>
    <n v="2000051465"/>
    <x v="5"/>
    <s v="0100FIAR7007"/>
    <n v="-381.3"/>
    <m/>
    <d v="2020-08-07T17:14:36"/>
    <x v="2"/>
    <x v="2"/>
    <s v="Quarter 3"/>
  </r>
  <r>
    <n v="2000051466"/>
    <x v="5"/>
    <s v="0100FIAR7007"/>
    <n v="-263.10000000000002"/>
    <m/>
    <d v="2020-08-07T17:14:36"/>
    <x v="2"/>
    <x v="2"/>
    <s v="Quarter 3"/>
  </r>
  <r>
    <n v="2000051467"/>
    <x v="5"/>
    <s v="0100FIAR7007"/>
    <n v="-31.55"/>
    <m/>
    <d v="2020-08-07T17:14:36"/>
    <x v="2"/>
    <x v="2"/>
    <s v="Quarter 3"/>
  </r>
  <r>
    <n v="2000051468"/>
    <x v="5"/>
    <s v="0100FIAR7007"/>
    <n v="-235.5"/>
    <m/>
    <d v="2020-08-07T17:14:36"/>
    <x v="2"/>
    <x v="2"/>
    <s v="Quarter 3"/>
  </r>
  <r>
    <n v="2000051469"/>
    <x v="5"/>
    <s v="0100FIAR7007"/>
    <n v="-221.55"/>
    <m/>
    <d v="2020-08-07T17:14:36"/>
    <x v="2"/>
    <x v="2"/>
    <s v="Quarter 3"/>
  </r>
  <r>
    <n v="2000051470"/>
    <x v="5"/>
    <s v="0100FIAR7007"/>
    <n v="-70.599999999999994"/>
    <m/>
    <d v="2020-08-07T17:14:36"/>
    <x v="2"/>
    <x v="2"/>
    <s v="Quarter 3"/>
  </r>
  <r>
    <n v="2000051471"/>
    <x v="5"/>
    <s v="0100FIAR7007"/>
    <n v="-425.9"/>
    <m/>
    <d v="2020-08-07T17:14:36"/>
    <x v="2"/>
    <x v="2"/>
    <s v="Quarter 3"/>
  </r>
  <r>
    <n v="2000051472"/>
    <x v="5"/>
    <s v="0100FIAR7007"/>
    <n v="-123.83"/>
    <m/>
    <d v="2020-08-07T17:14:36"/>
    <x v="2"/>
    <x v="2"/>
    <s v="Quarter 3"/>
  </r>
  <r>
    <n v="2000051473"/>
    <x v="5"/>
    <s v="0100FIAR7007"/>
    <n v="-110.95"/>
    <m/>
    <d v="2020-08-07T17:14:36"/>
    <x v="2"/>
    <x v="2"/>
    <s v="Quarter 3"/>
  </r>
  <r>
    <n v="2000051474"/>
    <x v="5"/>
    <s v="0100FIAR7007"/>
    <n v="-74.3"/>
    <m/>
    <d v="2020-08-07T17:14:36"/>
    <x v="2"/>
    <x v="2"/>
    <s v="Quarter 3"/>
  </r>
  <r>
    <n v="2000051475"/>
    <x v="5"/>
    <s v="0100FIAR7007"/>
    <n v="-58.05"/>
    <m/>
    <d v="2020-08-07T17:14:36"/>
    <x v="2"/>
    <x v="2"/>
    <s v="Quarter 3"/>
  </r>
  <r>
    <n v="2000051476"/>
    <x v="5"/>
    <s v="0100FIAR7007"/>
    <n v="-44.25"/>
    <m/>
    <d v="2020-08-07T17:14:36"/>
    <x v="2"/>
    <x v="2"/>
    <s v="Quarter 3"/>
  </r>
  <r>
    <n v="2000051477"/>
    <x v="5"/>
    <s v="0100FIAR7007"/>
    <n v="-543.70000000000005"/>
    <m/>
    <d v="2020-08-07T17:14:36"/>
    <x v="2"/>
    <x v="2"/>
    <s v="Quarter 3"/>
  </r>
  <r>
    <n v="2000051478"/>
    <x v="5"/>
    <s v="0100FIAR7007"/>
    <n v="-32.5"/>
    <m/>
    <d v="2020-08-07T17:14:36"/>
    <x v="2"/>
    <x v="2"/>
    <s v="Quarter 3"/>
  </r>
  <r>
    <n v="2000051479"/>
    <x v="5"/>
    <s v="0100FIAR7007"/>
    <n v="-12824.3"/>
    <m/>
    <d v="2020-08-07T17:14:36"/>
    <x v="2"/>
    <x v="2"/>
    <s v="Quarter 3"/>
  </r>
  <r>
    <n v="2000051480"/>
    <x v="5"/>
    <s v="0100FIAR7007"/>
    <n v="-366.4"/>
    <m/>
    <d v="2020-08-07T17:14:36"/>
    <x v="2"/>
    <x v="2"/>
    <s v="Quarter 3"/>
  </r>
  <r>
    <n v="2000051481"/>
    <x v="5"/>
    <s v="0100FIAR7007"/>
    <n v="-327.25"/>
    <m/>
    <d v="2020-08-07T17:14:36"/>
    <x v="2"/>
    <x v="2"/>
    <s v="Quarter 3"/>
  </r>
  <r>
    <n v="2000051483"/>
    <x v="5"/>
    <s v="0100FIAR7007"/>
    <n v="-333.75"/>
    <m/>
    <d v="2020-08-07T17:14:36"/>
    <x v="2"/>
    <x v="2"/>
    <s v="Quarter 3"/>
  </r>
  <r>
    <n v="2000051327"/>
    <x v="5"/>
    <s v="0100FIAR3006"/>
    <n v="-317.14999999999998"/>
    <m/>
    <d v="2020-08-07T17:14:36"/>
    <x v="2"/>
    <x v="2"/>
    <s v="Quarter 3"/>
  </r>
  <r>
    <n v="2000051329"/>
    <x v="5"/>
    <s v="0100FIAR3006"/>
    <n v="-246.75"/>
    <m/>
    <d v="2020-08-07T17:14:36"/>
    <x v="2"/>
    <x v="2"/>
    <s v="Quarter 3"/>
  </r>
  <r>
    <n v="2000051331"/>
    <x v="5"/>
    <s v="0100FIAR3006"/>
    <n v="-10.25"/>
    <m/>
    <d v="2020-08-07T17:14:36"/>
    <x v="2"/>
    <x v="2"/>
    <s v="Quarter 3"/>
  </r>
  <r>
    <n v="2000051325"/>
    <x v="5"/>
    <s v="0114FIAC7007"/>
    <n v="-42.4"/>
    <m/>
    <d v="2020-08-07T17:14:36"/>
    <x v="2"/>
    <x v="2"/>
    <s v="Quarter 3"/>
  </r>
  <r>
    <n v="2000051131"/>
    <x v="5"/>
    <s v="0109FIAC7006"/>
    <n v="-9"/>
    <m/>
    <d v="2020-08-07T17:14:36"/>
    <x v="2"/>
    <x v="2"/>
    <s v="Quarter 3"/>
  </r>
  <r>
    <n v="2000051462"/>
    <x v="5"/>
    <s v="0114FIAC7007"/>
    <n v="-101.4"/>
    <m/>
    <d v="2020-08-07T17:14:36"/>
    <x v="2"/>
    <x v="2"/>
    <s v="Quarter 3"/>
  </r>
  <r>
    <n v="2000051170"/>
    <x v="5"/>
    <s v="0103FIAC7010"/>
    <n v="-52.26"/>
    <m/>
    <d v="2020-08-07T17:14:36"/>
    <x v="2"/>
    <x v="2"/>
    <s v="Quarter 3"/>
  </r>
  <r>
    <n v="2000051404"/>
    <x v="5"/>
    <s v="0103FIAC7010"/>
    <n v="-284.14999999999998"/>
    <m/>
    <d v="2020-08-07T17:14:36"/>
    <x v="2"/>
    <x v="2"/>
    <s v="Quarter 3"/>
  </r>
  <r>
    <n v="2000051326"/>
    <x v="5"/>
    <s v="0104FIAC7005"/>
    <n v="-31.6"/>
    <m/>
    <d v="2020-08-07T17:14:36"/>
    <x v="2"/>
    <x v="2"/>
    <s v="Quarter 3"/>
  </r>
  <r>
    <n v="2000051130"/>
    <x v="5"/>
    <s v="0104FIAC7005"/>
    <n v="-68.45"/>
    <m/>
    <d v="2020-08-07T17:14:36"/>
    <x v="2"/>
    <x v="2"/>
    <s v="Quarter 3"/>
  </r>
  <r>
    <n v="2000051665"/>
    <x v="5"/>
    <s v="0102FIAC7006"/>
    <n v="-163.85"/>
    <m/>
    <d v="2020-08-07T17:14:36"/>
    <x v="2"/>
    <x v="2"/>
    <s v="Quarter 3"/>
  </r>
  <r>
    <n v="2000051649"/>
    <x v="5"/>
    <s v="0102FIAC7006"/>
    <n v="-26.05"/>
    <m/>
    <d v="2020-08-07T17:14:36"/>
    <x v="2"/>
    <x v="2"/>
    <s v="Quarter 3"/>
  </r>
  <r>
    <n v="2000051483"/>
    <x v="5"/>
    <s v="0100FIAR7007"/>
    <n v="-78.55"/>
    <m/>
    <d v="2020-08-07T17:14:36"/>
    <x v="2"/>
    <x v="2"/>
    <s v="Quarter 3"/>
  </r>
  <r>
    <n v="2000051608"/>
    <x v="5"/>
    <s v="0102FIAC7006"/>
    <n v="-102.6"/>
    <m/>
    <d v="2020-08-07T17:14:36"/>
    <x v="2"/>
    <x v="2"/>
    <s v="Quarter 3"/>
  </r>
  <r>
    <n v="2000051728"/>
    <x v="5"/>
    <s v="0102FIAC7006"/>
    <n v="-113.4"/>
    <m/>
    <d v="2020-08-07T17:14:36"/>
    <x v="2"/>
    <x v="2"/>
    <s v="Quarter 3"/>
  </r>
  <r>
    <n v="2000051728"/>
    <x v="5"/>
    <s v="0102FIAC7006"/>
    <n v="-96.1"/>
    <m/>
    <d v="2020-08-07T17:14:36"/>
    <x v="2"/>
    <x v="2"/>
    <s v="Quarter 3"/>
  </r>
  <r>
    <m/>
    <x v="5"/>
    <m/>
    <n v="-51607.82"/>
    <m/>
    <m/>
    <x v="3"/>
    <x v="3"/>
    <m/>
  </r>
  <r>
    <m/>
    <x v="2"/>
    <m/>
    <m/>
    <m/>
    <m/>
    <x v="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n v="2800000349"/>
    <x v="0"/>
    <s v="SITIBOT"/>
    <n v="21.2"/>
    <m/>
    <d v="2020-08-09T00:00:00"/>
    <x v="0"/>
    <s v="Week 3"/>
  </r>
  <r>
    <n v="2800000346"/>
    <x v="1"/>
    <s v="SITIBOT"/>
    <n v="593.5"/>
    <m/>
    <d v="2020-08-09T00:00:00"/>
    <x v="0"/>
    <s v="Week 3"/>
  </r>
  <r>
    <n v="2800000347"/>
    <x v="2"/>
    <s v="SITIBOT"/>
    <n v="571.1"/>
    <m/>
    <d v="2020-08-09T00:00:00"/>
    <x v="0"/>
    <s v="Week 3"/>
  </r>
  <r>
    <n v="2800000348"/>
    <x v="2"/>
    <s v="SITIBOT"/>
    <n v="64.5"/>
    <m/>
    <d v="2020-08-09T00:00:00"/>
    <x v="0"/>
    <s v="Week 3"/>
  </r>
  <r>
    <m/>
    <x v="3"/>
    <m/>
    <n v="1250.3"/>
    <m/>
    <d v="2020-08-09T00:00:00"/>
    <x v="1"/>
    <m/>
  </r>
  <r>
    <m/>
    <x v="3"/>
    <m/>
    <m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37A8EC-B2F9-48C2-855E-8CAEFDEDAA16}" name="PivotTable4" cacheId="12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F11" firstHeaderRow="1" firstDataRow="2" firstDataCol="1" rowPageCount="1" colPageCount="1"/>
  <pivotFields count="9"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7">
        <item x="0"/>
        <item x="1"/>
        <item x="3"/>
        <item x="4"/>
        <item x="5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5">
        <item x="1"/>
        <item x="0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5">
        <item x="2"/>
        <item x="0"/>
        <item x="1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Document 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CAB0D4-56E6-4DC7-B950-9E239E017FA1}" name="PivotTable6" cacheId="13" applyNumberFormats="0" applyBorderFormats="0" applyFontFormats="0" applyPatternFormats="0" applyAlignmentFormats="0" applyWidthHeightFormats="1" dataCaption="Values" updatedVersion="6" minRefreshableVersion="3" asteriskTotals="1" showMemberPropertyTips="0" useAutoFormatting="1" pageOverThenDown="1" itemPrintTitles="1" createdVersion="6" indent="0" outline="1" outlineData="1" multipleFieldFilters="0">
  <location ref="A3:D9" firstHeaderRow="1" firstDataRow="2" firstDataCol="1"/>
  <pivotFields count="8"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5">
        <item x="0"/>
        <item x="1"/>
        <item x="2"/>
        <item x="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Sum of Amount in local currency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01F09-B6D9-41F7-919C-CD8F69870180}">
  <dimension ref="A1:I104"/>
  <sheetViews>
    <sheetView tabSelected="1" workbookViewId="0">
      <selection activeCell="I2" sqref="I2:I103"/>
    </sheetView>
  </sheetViews>
  <sheetFormatPr defaultRowHeight="15" x14ac:dyDescent="0.25"/>
  <sheetData>
    <row r="1" spans="1:9" x14ac:dyDescent="0.25">
      <c r="A1" s="1" t="s">
        <v>13</v>
      </c>
      <c r="B1" s="1" t="s">
        <v>14</v>
      </c>
      <c r="C1" s="1" t="s">
        <v>15</v>
      </c>
      <c r="D1" s="1" t="s">
        <v>16</v>
      </c>
      <c r="E1" s="1" t="s">
        <v>17</v>
      </c>
      <c r="F1" s="7" t="s">
        <v>18</v>
      </c>
      <c r="G1" s="1" t="s">
        <v>0</v>
      </c>
      <c r="H1" s="1" t="s">
        <v>19</v>
      </c>
      <c r="I1" s="2" t="s">
        <v>20</v>
      </c>
    </row>
    <row r="2" spans="1:9" x14ac:dyDescent="0.25">
      <c r="A2">
        <v>2800000349</v>
      </c>
      <c r="B2">
        <v>271151</v>
      </c>
      <c r="C2" t="s">
        <v>24</v>
      </c>
      <c r="D2">
        <v>21.2</v>
      </c>
      <c r="F2" s="8">
        <v>44052</v>
      </c>
      <c r="G2" t="str">
        <f>TEXT(F2,"mmmm")</f>
        <v>August</v>
      </c>
      <c r="H2" t="str">
        <f>"Week "&amp;((WEEKNUM(F2)-WEEKNUM(DATE(YEAR(F2),MONTH(F2),1))+1))</f>
        <v>Week 3</v>
      </c>
      <c r="I2" t="str">
        <f>"Quarter " &amp; ROUNDUP((MONTH(F2))/3,0)</f>
        <v>Quarter 3</v>
      </c>
    </row>
    <row r="3" spans="1:9" x14ac:dyDescent="0.25">
      <c r="A3">
        <v>2800000346</v>
      </c>
      <c r="B3">
        <v>273114</v>
      </c>
      <c r="C3" t="s">
        <v>24</v>
      </c>
      <c r="D3">
        <v>593.5</v>
      </c>
      <c r="F3" s="8">
        <v>44052</v>
      </c>
      <c r="G3" t="str">
        <f t="shared" ref="G3:G66" si="0">TEXT(F3,"mmmm")</f>
        <v>August</v>
      </c>
      <c r="H3" t="str">
        <f t="shared" ref="H3:H66" si="1">"Week "&amp;((WEEKNUM(F3)-WEEKNUM(DATE(YEAR(F3),MONTH(F3),1))+1))</f>
        <v>Week 3</v>
      </c>
      <c r="I3" t="str">
        <f t="shared" ref="I3:I66" si="2">"Quarter " &amp; ROUNDUP((MONTH(F3))/3,0)</f>
        <v>Quarter 3</v>
      </c>
    </row>
    <row r="4" spans="1:9" x14ac:dyDescent="0.25">
      <c r="A4">
        <v>2800000347</v>
      </c>
      <c r="B4">
        <v>273116</v>
      </c>
      <c r="C4" t="s">
        <v>24</v>
      </c>
      <c r="D4">
        <v>571.1</v>
      </c>
      <c r="F4" s="8">
        <v>44052</v>
      </c>
      <c r="G4" t="str">
        <f t="shared" si="0"/>
        <v>August</v>
      </c>
      <c r="H4" t="str">
        <f t="shared" si="1"/>
        <v>Week 3</v>
      </c>
      <c r="I4" t="str">
        <f t="shared" si="2"/>
        <v>Quarter 3</v>
      </c>
    </row>
    <row r="5" spans="1:9" x14ac:dyDescent="0.25">
      <c r="A5">
        <v>2800000348</v>
      </c>
      <c r="B5">
        <v>273116</v>
      </c>
      <c r="C5" t="s">
        <v>24</v>
      </c>
      <c r="D5">
        <v>64.5</v>
      </c>
      <c r="F5" s="8">
        <v>44052</v>
      </c>
      <c r="G5" t="str">
        <f t="shared" si="0"/>
        <v>August</v>
      </c>
      <c r="H5" t="str">
        <f t="shared" si="1"/>
        <v>Week 3</v>
      </c>
      <c r="I5" t="str">
        <f t="shared" si="2"/>
        <v>Quarter 3</v>
      </c>
    </row>
    <row r="6" spans="1:9" x14ac:dyDescent="0.25">
      <c r="D6">
        <v>1250.3</v>
      </c>
      <c r="F6" s="8">
        <v>44052</v>
      </c>
      <c r="G6" t="str">
        <f t="shared" si="0"/>
        <v>August</v>
      </c>
      <c r="H6" t="str">
        <f t="shared" si="1"/>
        <v>Week 3</v>
      </c>
      <c r="I6" t="str">
        <f t="shared" si="2"/>
        <v>Quarter 3</v>
      </c>
    </row>
    <row r="7" spans="1:9" x14ac:dyDescent="0.25">
      <c r="A7">
        <v>2000000846</v>
      </c>
      <c r="B7" t="s">
        <v>3</v>
      </c>
      <c r="C7" t="s">
        <v>24</v>
      </c>
      <c r="D7">
        <v>-54.65</v>
      </c>
      <c r="F7" s="8">
        <v>44052</v>
      </c>
      <c r="G7" t="str">
        <f t="shared" si="0"/>
        <v>August</v>
      </c>
      <c r="H7" t="str">
        <f t="shared" si="1"/>
        <v>Week 3</v>
      </c>
      <c r="I7" t="str">
        <f t="shared" si="2"/>
        <v>Quarter 3</v>
      </c>
    </row>
    <row r="8" spans="1:9" x14ac:dyDescent="0.25">
      <c r="A8">
        <v>2000000847</v>
      </c>
      <c r="B8" t="s">
        <v>3</v>
      </c>
      <c r="C8" t="s">
        <v>24</v>
      </c>
      <c r="D8">
        <v>-2000</v>
      </c>
      <c r="F8" s="8">
        <v>44052</v>
      </c>
      <c r="G8" t="str">
        <f t="shared" si="0"/>
        <v>August</v>
      </c>
      <c r="H8" t="str">
        <f t="shared" si="1"/>
        <v>Week 3</v>
      </c>
      <c r="I8" t="str">
        <f t="shared" si="2"/>
        <v>Quarter 3</v>
      </c>
    </row>
    <row r="9" spans="1:9" x14ac:dyDescent="0.25">
      <c r="A9">
        <v>2000000848</v>
      </c>
      <c r="B9" t="s">
        <v>3</v>
      </c>
      <c r="C9" t="s">
        <v>24</v>
      </c>
      <c r="D9">
        <v>-147.69999999999999</v>
      </c>
      <c r="F9" s="8">
        <v>44052</v>
      </c>
      <c r="G9" t="str">
        <f t="shared" si="0"/>
        <v>August</v>
      </c>
      <c r="H9" t="str">
        <f t="shared" si="1"/>
        <v>Week 3</v>
      </c>
      <c r="I9" t="str">
        <f t="shared" si="2"/>
        <v>Quarter 3</v>
      </c>
    </row>
    <row r="10" spans="1:9" x14ac:dyDescent="0.25">
      <c r="A10">
        <v>2000000849</v>
      </c>
      <c r="B10" t="s">
        <v>3</v>
      </c>
      <c r="C10" t="s">
        <v>24</v>
      </c>
      <c r="D10">
        <v>-318.89</v>
      </c>
      <c r="F10" s="8">
        <v>44052</v>
      </c>
      <c r="G10" t="str">
        <f t="shared" si="0"/>
        <v>August</v>
      </c>
      <c r="H10" t="str">
        <f t="shared" si="1"/>
        <v>Week 3</v>
      </c>
      <c r="I10" t="str">
        <f t="shared" si="2"/>
        <v>Quarter 3</v>
      </c>
    </row>
    <row r="11" spans="1:9" x14ac:dyDescent="0.25">
      <c r="A11">
        <v>2000000850</v>
      </c>
      <c r="B11" t="s">
        <v>3</v>
      </c>
      <c r="C11" t="s">
        <v>24</v>
      </c>
      <c r="D11">
        <v>-256.64999999999998</v>
      </c>
      <c r="F11" s="8">
        <v>44052</v>
      </c>
      <c r="G11" t="str">
        <f t="shared" si="0"/>
        <v>August</v>
      </c>
      <c r="H11" t="str">
        <f t="shared" si="1"/>
        <v>Week 3</v>
      </c>
      <c r="I11" t="str">
        <f t="shared" si="2"/>
        <v>Quarter 3</v>
      </c>
    </row>
    <row r="12" spans="1:9" x14ac:dyDescent="0.25">
      <c r="A12">
        <v>2000000851</v>
      </c>
      <c r="B12" t="s">
        <v>3</v>
      </c>
      <c r="C12" t="s">
        <v>24</v>
      </c>
      <c r="D12">
        <v>-99.45</v>
      </c>
      <c r="F12" s="8">
        <v>44052</v>
      </c>
      <c r="G12" t="str">
        <f t="shared" si="0"/>
        <v>August</v>
      </c>
      <c r="H12" t="str">
        <f t="shared" si="1"/>
        <v>Week 3</v>
      </c>
      <c r="I12" t="str">
        <f t="shared" si="2"/>
        <v>Quarter 3</v>
      </c>
    </row>
    <row r="13" spans="1:9" x14ac:dyDescent="0.25">
      <c r="A13">
        <v>2000000852</v>
      </c>
      <c r="B13" t="s">
        <v>3</v>
      </c>
      <c r="C13" t="s">
        <v>24</v>
      </c>
      <c r="D13">
        <v>-236.7</v>
      </c>
      <c r="F13" s="8">
        <v>44052</v>
      </c>
      <c r="G13" t="str">
        <f t="shared" si="0"/>
        <v>August</v>
      </c>
      <c r="H13" t="str">
        <f t="shared" si="1"/>
        <v>Week 3</v>
      </c>
      <c r="I13" t="str">
        <f t="shared" si="2"/>
        <v>Quarter 3</v>
      </c>
    </row>
    <row r="14" spans="1:9" x14ac:dyDescent="0.25">
      <c r="A14">
        <v>2000000853</v>
      </c>
      <c r="B14" t="s">
        <v>3</v>
      </c>
      <c r="C14" t="s">
        <v>24</v>
      </c>
      <c r="D14">
        <v>-27.2</v>
      </c>
      <c r="F14" s="8">
        <v>44052</v>
      </c>
      <c r="G14" t="str">
        <f t="shared" si="0"/>
        <v>August</v>
      </c>
      <c r="H14" t="str">
        <f t="shared" si="1"/>
        <v>Week 3</v>
      </c>
      <c r="I14" t="str">
        <f t="shared" si="2"/>
        <v>Quarter 3</v>
      </c>
    </row>
    <row r="15" spans="1:9" x14ac:dyDescent="0.25">
      <c r="A15">
        <v>2000000854</v>
      </c>
      <c r="B15" t="s">
        <v>3</v>
      </c>
      <c r="C15" t="s">
        <v>24</v>
      </c>
      <c r="D15">
        <v>-3319.55</v>
      </c>
      <c r="F15" s="8">
        <v>44052</v>
      </c>
      <c r="G15" t="str">
        <f t="shared" si="0"/>
        <v>August</v>
      </c>
      <c r="H15" t="str">
        <f t="shared" si="1"/>
        <v>Week 3</v>
      </c>
      <c r="I15" t="str">
        <f t="shared" si="2"/>
        <v>Quarter 3</v>
      </c>
    </row>
    <row r="16" spans="1:9" x14ac:dyDescent="0.25">
      <c r="A16">
        <v>2000000843</v>
      </c>
      <c r="B16" t="s">
        <v>3</v>
      </c>
      <c r="C16" t="s">
        <v>25</v>
      </c>
      <c r="D16">
        <v>-6.3</v>
      </c>
      <c r="F16" s="8">
        <v>44052</v>
      </c>
      <c r="G16" t="str">
        <f t="shared" si="0"/>
        <v>August</v>
      </c>
      <c r="H16" t="str">
        <f t="shared" si="1"/>
        <v>Week 3</v>
      </c>
      <c r="I16" t="str">
        <f t="shared" si="2"/>
        <v>Quarter 3</v>
      </c>
    </row>
    <row r="17" spans="1:9" x14ac:dyDescent="0.25">
      <c r="A17">
        <v>2000000844</v>
      </c>
      <c r="B17" t="s">
        <v>3</v>
      </c>
      <c r="C17" t="s">
        <v>25</v>
      </c>
      <c r="D17">
        <v>-18.95</v>
      </c>
      <c r="F17" s="8">
        <v>44052</v>
      </c>
      <c r="G17" t="str">
        <f t="shared" si="0"/>
        <v>August</v>
      </c>
      <c r="H17" t="str">
        <f t="shared" si="1"/>
        <v>Week 3</v>
      </c>
      <c r="I17" t="str">
        <f t="shared" si="2"/>
        <v>Quarter 3</v>
      </c>
    </row>
    <row r="18" spans="1:9" x14ac:dyDescent="0.25">
      <c r="A18">
        <v>2000000845</v>
      </c>
      <c r="B18" t="s">
        <v>3</v>
      </c>
      <c r="C18" t="s">
        <v>25</v>
      </c>
      <c r="D18">
        <v>-143.55000000000001</v>
      </c>
      <c r="F18" s="8">
        <v>44052</v>
      </c>
      <c r="G18" t="str">
        <f t="shared" si="0"/>
        <v>August</v>
      </c>
      <c r="H18" t="str">
        <f t="shared" si="1"/>
        <v>Week 3</v>
      </c>
      <c r="I18" t="str">
        <f t="shared" si="2"/>
        <v>Quarter 3</v>
      </c>
    </row>
    <row r="19" spans="1:9" x14ac:dyDescent="0.25">
      <c r="A19">
        <v>2000000855</v>
      </c>
      <c r="B19" t="s">
        <v>3</v>
      </c>
      <c r="C19" t="s">
        <v>24</v>
      </c>
      <c r="D19">
        <v>-12.65</v>
      </c>
      <c r="F19" s="8">
        <v>44052</v>
      </c>
      <c r="G19" t="str">
        <f t="shared" si="0"/>
        <v>August</v>
      </c>
      <c r="H19" t="str">
        <f t="shared" si="1"/>
        <v>Week 3</v>
      </c>
      <c r="I19" t="str">
        <f t="shared" si="2"/>
        <v>Quarter 3</v>
      </c>
    </row>
    <row r="20" spans="1:9" x14ac:dyDescent="0.25">
      <c r="B20" t="s">
        <v>3</v>
      </c>
      <c r="D20">
        <v>-6642.24</v>
      </c>
      <c r="F20" s="8">
        <v>44052</v>
      </c>
      <c r="G20" t="str">
        <f t="shared" si="0"/>
        <v>August</v>
      </c>
      <c r="H20" t="str">
        <f t="shared" si="1"/>
        <v>Week 3</v>
      </c>
      <c r="I20" t="str">
        <f t="shared" si="2"/>
        <v>Quarter 3</v>
      </c>
    </row>
    <row r="21" spans="1:9" x14ac:dyDescent="0.25">
      <c r="A21">
        <v>2000000846</v>
      </c>
      <c r="B21" t="s">
        <v>3</v>
      </c>
      <c r="C21" t="s">
        <v>24</v>
      </c>
      <c r="D21">
        <v>-54.65</v>
      </c>
      <c r="F21" s="8">
        <v>44052</v>
      </c>
      <c r="G21" t="str">
        <f t="shared" si="0"/>
        <v>August</v>
      </c>
      <c r="H21" t="str">
        <f t="shared" si="1"/>
        <v>Week 3</v>
      </c>
      <c r="I21" t="str">
        <f t="shared" si="2"/>
        <v>Quarter 3</v>
      </c>
    </row>
    <row r="22" spans="1:9" x14ac:dyDescent="0.25">
      <c r="A22">
        <v>2000000847</v>
      </c>
      <c r="B22" t="s">
        <v>3</v>
      </c>
      <c r="C22" t="s">
        <v>24</v>
      </c>
      <c r="D22">
        <v>-2000</v>
      </c>
      <c r="F22" s="8">
        <v>44052</v>
      </c>
      <c r="G22" t="str">
        <f t="shared" si="0"/>
        <v>August</v>
      </c>
      <c r="H22" t="str">
        <f t="shared" si="1"/>
        <v>Week 3</v>
      </c>
      <c r="I22" t="str">
        <f t="shared" si="2"/>
        <v>Quarter 3</v>
      </c>
    </row>
    <row r="23" spans="1:9" x14ac:dyDescent="0.25">
      <c r="A23">
        <v>2000000848</v>
      </c>
      <c r="B23" t="s">
        <v>3</v>
      </c>
      <c r="C23" t="s">
        <v>24</v>
      </c>
      <c r="D23">
        <v>-147.69999999999999</v>
      </c>
      <c r="F23" s="8">
        <v>44052</v>
      </c>
      <c r="G23" t="str">
        <f t="shared" si="0"/>
        <v>August</v>
      </c>
      <c r="H23" t="str">
        <f t="shared" si="1"/>
        <v>Week 3</v>
      </c>
      <c r="I23" t="str">
        <f t="shared" si="2"/>
        <v>Quarter 3</v>
      </c>
    </row>
    <row r="24" spans="1:9" x14ac:dyDescent="0.25">
      <c r="A24">
        <v>2000000849</v>
      </c>
      <c r="B24" t="s">
        <v>3</v>
      </c>
      <c r="C24" t="s">
        <v>24</v>
      </c>
      <c r="D24">
        <v>-318.89</v>
      </c>
      <c r="F24" s="8">
        <v>44052</v>
      </c>
      <c r="G24" t="str">
        <f t="shared" si="0"/>
        <v>August</v>
      </c>
      <c r="H24" t="str">
        <f t="shared" si="1"/>
        <v>Week 3</v>
      </c>
      <c r="I24" t="str">
        <f t="shared" si="2"/>
        <v>Quarter 3</v>
      </c>
    </row>
    <row r="25" spans="1:9" x14ac:dyDescent="0.25">
      <c r="A25">
        <v>2000000850</v>
      </c>
      <c r="B25" t="s">
        <v>3</v>
      </c>
      <c r="C25" t="s">
        <v>24</v>
      </c>
      <c r="D25">
        <v>-256.64999999999998</v>
      </c>
      <c r="F25" s="8">
        <v>44052</v>
      </c>
      <c r="G25" t="str">
        <f t="shared" si="0"/>
        <v>August</v>
      </c>
      <c r="H25" t="str">
        <f t="shared" si="1"/>
        <v>Week 3</v>
      </c>
      <c r="I25" t="str">
        <f t="shared" si="2"/>
        <v>Quarter 3</v>
      </c>
    </row>
    <row r="26" spans="1:9" x14ac:dyDescent="0.25">
      <c r="A26">
        <v>2000000851</v>
      </c>
      <c r="B26" t="s">
        <v>3</v>
      </c>
      <c r="C26" t="s">
        <v>24</v>
      </c>
      <c r="D26">
        <v>-99.45</v>
      </c>
      <c r="F26" s="8">
        <v>44052</v>
      </c>
      <c r="G26" t="str">
        <f t="shared" si="0"/>
        <v>August</v>
      </c>
      <c r="H26" t="str">
        <f t="shared" si="1"/>
        <v>Week 3</v>
      </c>
      <c r="I26" t="str">
        <f t="shared" si="2"/>
        <v>Quarter 3</v>
      </c>
    </row>
    <row r="27" spans="1:9" x14ac:dyDescent="0.25">
      <c r="A27">
        <v>2000000852</v>
      </c>
      <c r="B27" t="s">
        <v>3</v>
      </c>
      <c r="C27" t="s">
        <v>24</v>
      </c>
      <c r="D27">
        <v>-236.7</v>
      </c>
      <c r="F27" s="8">
        <v>44052</v>
      </c>
      <c r="G27" t="str">
        <f t="shared" si="0"/>
        <v>August</v>
      </c>
      <c r="H27" t="str">
        <f t="shared" si="1"/>
        <v>Week 3</v>
      </c>
      <c r="I27" t="str">
        <f t="shared" si="2"/>
        <v>Quarter 3</v>
      </c>
    </row>
    <row r="28" spans="1:9" x14ac:dyDescent="0.25">
      <c r="A28">
        <v>2000000853</v>
      </c>
      <c r="B28" t="s">
        <v>3</v>
      </c>
      <c r="C28" t="s">
        <v>24</v>
      </c>
      <c r="D28">
        <v>-27.2</v>
      </c>
      <c r="F28" s="8">
        <v>44052</v>
      </c>
      <c r="G28" t="str">
        <f t="shared" si="0"/>
        <v>August</v>
      </c>
      <c r="H28" t="str">
        <f t="shared" si="1"/>
        <v>Week 3</v>
      </c>
      <c r="I28" t="str">
        <f t="shared" si="2"/>
        <v>Quarter 3</v>
      </c>
    </row>
    <row r="29" spans="1:9" x14ac:dyDescent="0.25">
      <c r="A29">
        <v>2000000854</v>
      </c>
      <c r="B29" t="s">
        <v>3</v>
      </c>
      <c r="C29" t="s">
        <v>24</v>
      </c>
      <c r="D29">
        <v>-3319.55</v>
      </c>
      <c r="F29" s="8">
        <v>44052</v>
      </c>
      <c r="G29" t="str">
        <f t="shared" si="0"/>
        <v>August</v>
      </c>
      <c r="H29" t="str">
        <f t="shared" si="1"/>
        <v>Week 3</v>
      </c>
      <c r="I29" t="str">
        <f t="shared" si="2"/>
        <v>Quarter 3</v>
      </c>
    </row>
    <row r="30" spans="1:9" x14ac:dyDescent="0.25">
      <c r="A30">
        <v>2000000843</v>
      </c>
      <c r="B30" t="s">
        <v>3</v>
      </c>
      <c r="C30" t="s">
        <v>25</v>
      </c>
      <c r="D30">
        <v>-6.3</v>
      </c>
      <c r="F30" s="8">
        <v>44052</v>
      </c>
      <c r="G30" t="str">
        <f t="shared" si="0"/>
        <v>August</v>
      </c>
      <c r="H30" t="str">
        <f t="shared" si="1"/>
        <v>Week 3</v>
      </c>
      <c r="I30" t="str">
        <f t="shared" si="2"/>
        <v>Quarter 3</v>
      </c>
    </row>
    <row r="31" spans="1:9" x14ac:dyDescent="0.25">
      <c r="A31">
        <v>2000000844</v>
      </c>
      <c r="B31" t="s">
        <v>3</v>
      </c>
      <c r="C31" t="s">
        <v>25</v>
      </c>
      <c r="D31">
        <v>-18.95</v>
      </c>
      <c r="F31" s="8">
        <v>44052</v>
      </c>
      <c r="G31" t="str">
        <f t="shared" si="0"/>
        <v>August</v>
      </c>
      <c r="H31" t="str">
        <f t="shared" si="1"/>
        <v>Week 3</v>
      </c>
      <c r="I31" t="str">
        <f t="shared" si="2"/>
        <v>Quarter 3</v>
      </c>
    </row>
    <row r="32" spans="1:9" x14ac:dyDescent="0.25">
      <c r="A32">
        <v>2000000845</v>
      </c>
      <c r="B32" t="s">
        <v>3</v>
      </c>
      <c r="C32" t="s">
        <v>25</v>
      </c>
      <c r="D32">
        <v>-143.55000000000001</v>
      </c>
      <c r="F32" s="8">
        <v>44052</v>
      </c>
      <c r="G32" t="str">
        <f t="shared" si="0"/>
        <v>August</v>
      </c>
      <c r="H32" t="str">
        <f t="shared" si="1"/>
        <v>Week 3</v>
      </c>
      <c r="I32" t="str">
        <f t="shared" si="2"/>
        <v>Quarter 3</v>
      </c>
    </row>
    <row r="33" spans="1:9" x14ac:dyDescent="0.25">
      <c r="A33">
        <v>2000000855</v>
      </c>
      <c r="B33" t="s">
        <v>3</v>
      </c>
      <c r="C33" t="s">
        <v>24</v>
      </c>
      <c r="D33">
        <v>-12.65</v>
      </c>
      <c r="F33" s="8">
        <v>44052</v>
      </c>
      <c r="G33" t="str">
        <f t="shared" si="0"/>
        <v>August</v>
      </c>
      <c r="H33" t="str">
        <f t="shared" si="1"/>
        <v>Week 3</v>
      </c>
      <c r="I33" t="str">
        <f t="shared" si="2"/>
        <v>Quarter 3</v>
      </c>
    </row>
    <row r="34" spans="1:9" x14ac:dyDescent="0.25">
      <c r="B34" t="s">
        <v>3</v>
      </c>
      <c r="D34">
        <v>-6642.24</v>
      </c>
      <c r="F34" s="8">
        <v>44052</v>
      </c>
      <c r="G34" t="str">
        <f t="shared" si="0"/>
        <v>August</v>
      </c>
      <c r="H34" t="str">
        <f t="shared" si="1"/>
        <v>Week 3</v>
      </c>
      <c r="I34" t="str">
        <f t="shared" si="2"/>
        <v>Quarter 3</v>
      </c>
    </row>
    <row r="35" spans="1:9" x14ac:dyDescent="0.25">
      <c r="A35">
        <v>2000000846</v>
      </c>
      <c r="B35" t="s">
        <v>3</v>
      </c>
      <c r="C35" t="s">
        <v>24</v>
      </c>
      <c r="D35">
        <v>-54.65</v>
      </c>
      <c r="F35" s="8">
        <v>44052</v>
      </c>
      <c r="G35" t="str">
        <f t="shared" si="0"/>
        <v>August</v>
      </c>
      <c r="H35" t="str">
        <f t="shared" si="1"/>
        <v>Week 3</v>
      </c>
      <c r="I35" t="str">
        <f t="shared" si="2"/>
        <v>Quarter 3</v>
      </c>
    </row>
    <row r="36" spans="1:9" x14ac:dyDescent="0.25">
      <c r="A36">
        <v>2000000847</v>
      </c>
      <c r="B36" t="s">
        <v>3</v>
      </c>
      <c r="C36" t="s">
        <v>24</v>
      </c>
      <c r="D36">
        <v>-2000</v>
      </c>
      <c r="F36" s="8">
        <v>44052</v>
      </c>
      <c r="G36" t="str">
        <f t="shared" si="0"/>
        <v>August</v>
      </c>
      <c r="H36" t="str">
        <f t="shared" si="1"/>
        <v>Week 3</v>
      </c>
      <c r="I36" t="str">
        <f t="shared" si="2"/>
        <v>Quarter 3</v>
      </c>
    </row>
    <row r="37" spans="1:9" x14ac:dyDescent="0.25">
      <c r="A37">
        <v>2000000848</v>
      </c>
      <c r="B37" t="s">
        <v>3</v>
      </c>
      <c r="C37" t="s">
        <v>24</v>
      </c>
      <c r="D37">
        <v>-147.69999999999999</v>
      </c>
      <c r="F37" s="8">
        <v>44052</v>
      </c>
      <c r="G37" t="str">
        <f t="shared" si="0"/>
        <v>August</v>
      </c>
      <c r="H37" t="str">
        <f t="shared" si="1"/>
        <v>Week 3</v>
      </c>
      <c r="I37" t="str">
        <f t="shared" si="2"/>
        <v>Quarter 3</v>
      </c>
    </row>
    <row r="38" spans="1:9" x14ac:dyDescent="0.25">
      <c r="A38">
        <v>2000000849</v>
      </c>
      <c r="B38" t="s">
        <v>3</v>
      </c>
      <c r="C38" t="s">
        <v>24</v>
      </c>
      <c r="D38">
        <v>-318.89</v>
      </c>
      <c r="F38" s="8">
        <v>44052</v>
      </c>
      <c r="G38" t="str">
        <f t="shared" si="0"/>
        <v>August</v>
      </c>
      <c r="H38" t="str">
        <f t="shared" si="1"/>
        <v>Week 3</v>
      </c>
      <c r="I38" t="str">
        <f t="shared" si="2"/>
        <v>Quarter 3</v>
      </c>
    </row>
    <row r="39" spans="1:9" x14ac:dyDescent="0.25">
      <c r="A39">
        <v>2000000850</v>
      </c>
      <c r="B39" t="s">
        <v>3</v>
      </c>
      <c r="C39" t="s">
        <v>24</v>
      </c>
      <c r="D39">
        <v>-256.64999999999998</v>
      </c>
      <c r="F39" s="8">
        <v>44052</v>
      </c>
      <c r="G39" t="str">
        <f t="shared" si="0"/>
        <v>August</v>
      </c>
      <c r="H39" t="str">
        <f t="shared" si="1"/>
        <v>Week 3</v>
      </c>
      <c r="I39" t="str">
        <f t="shared" si="2"/>
        <v>Quarter 3</v>
      </c>
    </row>
    <row r="40" spans="1:9" x14ac:dyDescent="0.25">
      <c r="A40">
        <v>2000000851</v>
      </c>
      <c r="B40" t="s">
        <v>3</v>
      </c>
      <c r="C40" t="s">
        <v>24</v>
      </c>
      <c r="D40">
        <v>-99.45</v>
      </c>
      <c r="F40" s="8">
        <v>44052</v>
      </c>
      <c r="G40" t="str">
        <f t="shared" si="0"/>
        <v>August</v>
      </c>
      <c r="H40" t="str">
        <f t="shared" si="1"/>
        <v>Week 3</v>
      </c>
      <c r="I40" t="str">
        <f t="shared" si="2"/>
        <v>Quarter 3</v>
      </c>
    </row>
    <row r="41" spans="1:9" x14ac:dyDescent="0.25">
      <c r="A41">
        <v>2000000852</v>
      </c>
      <c r="B41" t="s">
        <v>3</v>
      </c>
      <c r="C41" t="s">
        <v>24</v>
      </c>
      <c r="D41">
        <v>-236.7</v>
      </c>
      <c r="F41" s="8">
        <v>44052</v>
      </c>
      <c r="G41" t="str">
        <f t="shared" si="0"/>
        <v>August</v>
      </c>
      <c r="H41" t="str">
        <f t="shared" si="1"/>
        <v>Week 3</v>
      </c>
      <c r="I41" t="str">
        <f t="shared" si="2"/>
        <v>Quarter 3</v>
      </c>
    </row>
    <row r="42" spans="1:9" x14ac:dyDescent="0.25">
      <c r="A42">
        <v>2000000853</v>
      </c>
      <c r="B42" t="s">
        <v>3</v>
      </c>
      <c r="C42" t="s">
        <v>24</v>
      </c>
      <c r="D42">
        <v>-27.2</v>
      </c>
      <c r="F42" s="8">
        <v>44052</v>
      </c>
      <c r="G42" t="str">
        <f t="shared" si="0"/>
        <v>August</v>
      </c>
      <c r="H42" t="str">
        <f t="shared" si="1"/>
        <v>Week 3</v>
      </c>
      <c r="I42" t="str">
        <f t="shared" si="2"/>
        <v>Quarter 3</v>
      </c>
    </row>
    <row r="43" spans="1:9" x14ac:dyDescent="0.25">
      <c r="A43">
        <v>2000000854</v>
      </c>
      <c r="B43" t="s">
        <v>3</v>
      </c>
      <c r="C43" t="s">
        <v>24</v>
      </c>
      <c r="D43">
        <v>-3319.55</v>
      </c>
      <c r="F43" s="8">
        <v>44052</v>
      </c>
      <c r="G43" t="str">
        <f t="shared" si="0"/>
        <v>August</v>
      </c>
      <c r="H43" t="str">
        <f t="shared" si="1"/>
        <v>Week 3</v>
      </c>
      <c r="I43" t="str">
        <f t="shared" si="2"/>
        <v>Quarter 3</v>
      </c>
    </row>
    <row r="44" spans="1:9" x14ac:dyDescent="0.25">
      <c r="A44">
        <v>2000000843</v>
      </c>
      <c r="B44" t="s">
        <v>3</v>
      </c>
      <c r="C44" t="s">
        <v>25</v>
      </c>
      <c r="D44">
        <v>-6.3</v>
      </c>
      <c r="F44" s="8">
        <v>44052</v>
      </c>
      <c r="G44" t="str">
        <f t="shared" si="0"/>
        <v>August</v>
      </c>
      <c r="H44" t="str">
        <f t="shared" si="1"/>
        <v>Week 3</v>
      </c>
      <c r="I44" t="str">
        <f t="shared" si="2"/>
        <v>Quarter 3</v>
      </c>
    </row>
    <row r="45" spans="1:9" x14ac:dyDescent="0.25">
      <c r="A45">
        <v>2000000844</v>
      </c>
      <c r="B45" t="s">
        <v>3</v>
      </c>
      <c r="C45" t="s">
        <v>25</v>
      </c>
      <c r="D45">
        <v>-18.95</v>
      </c>
      <c r="F45" s="8">
        <v>44052</v>
      </c>
      <c r="G45" t="str">
        <f t="shared" si="0"/>
        <v>August</v>
      </c>
      <c r="H45" t="str">
        <f t="shared" si="1"/>
        <v>Week 3</v>
      </c>
      <c r="I45" t="str">
        <f t="shared" si="2"/>
        <v>Quarter 3</v>
      </c>
    </row>
    <row r="46" spans="1:9" x14ac:dyDescent="0.25">
      <c r="A46">
        <v>2000000845</v>
      </c>
      <c r="B46" t="s">
        <v>3</v>
      </c>
      <c r="C46" t="s">
        <v>25</v>
      </c>
      <c r="D46">
        <v>-143.55000000000001</v>
      </c>
      <c r="F46" s="8">
        <v>44052</v>
      </c>
      <c r="G46" t="str">
        <f t="shared" si="0"/>
        <v>August</v>
      </c>
      <c r="H46" t="str">
        <f t="shared" si="1"/>
        <v>Week 3</v>
      </c>
      <c r="I46" t="str">
        <f t="shared" si="2"/>
        <v>Quarter 3</v>
      </c>
    </row>
    <row r="47" spans="1:9" x14ac:dyDescent="0.25">
      <c r="A47">
        <v>2000000855</v>
      </c>
      <c r="B47" t="s">
        <v>3</v>
      </c>
      <c r="C47" t="s">
        <v>24</v>
      </c>
      <c r="D47">
        <v>-12.65</v>
      </c>
      <c r="F47" s="8">
        <v>44052</v>
      </c>
      <c r="G47" t="str">
        <f t="shared" si="0"/>
        <v>August</v>
      </c>
      <c r="H47" t="str">
        <f t="shared" si="1"/>
        <v>Week 3</v>
      </c>
      <c r="I47" t="str">
        <f t="shared" si="2"/>
        <v>Quarter 3</v>
      </c>
    </row>
    <row r="48" spans="1:9" x14ac:dyDescent="0.25">
      <c r="B48" t="s">
        <v>3</v>
      </c>
      <c r="D48">
        <v>-6642.24</v>
      </c>
      <c r="F48" s="8">
        <v>44052</v>
      </c>
      <c r="G48" t="str">
        <f t="shared" si="0"/>
        <v>August</v>
      </c>
      <c r="H48" t="str">
        <f t="shared" si="1"/>
        <v>Week 3</v>
      </c>
      <c r="I48" t="str">
        <f t="shared" si="2"/>
        <v>Quarter 3</v>
      </c>
    </row>
    <row r="49" spans="1:9" x14ac:dyDescent="0.25">
      <c r="A49">
        <v>2000000846</v>
      </c>
      <c r="B49" t="s">
        <v>3</v>
      </c>
      <c r="C49" t="s">
        <v>24</v>
      </c>
      <c r="D49">
        <v>-54.65</v>
      </c>
      <c r="F49" s="8">
        <v>44052</v>
      </c>
      <c r="G49" t="str">
        <f t="shared" si="0"/>
        <v>August</v>
      </c>
      <c r="H49" t="str">
        <f t="shared" si="1"/>
        <v>Week 3</v>
      </c>
      <c r="I49" t="str">
        <f t="shared" si="2"/>
        <v>Quarter 3</v>
      </c>
    </row>
    <row r="50" spans="1:9" x14ac:dyDescent="0.25">
      <c r="A50">
        <v>2000000847</v>
      </c>
      <c r="B50" t="s">
        <v>3</v>
      </c>
      <c r="C50" t="s">
        <v>24</v>
      </c>
      <c r="D50">
        <v>-2000</v>
      </c>
      <c r="F50" s="8">
        <v>44052</v>
      </c>
      <c r="G50" t="str">
        <f t="shared" si="0"/>
        <v>August</v>
      </c>
      <c r="H50" t="str">
        <f t="shared" si="1"/>
        <v>Week 3</v>
      </c>
      <c r="I50" t="str">
        <f t="shared" si="2"/>
        <v>Quarter 3</v>
      </c>
    </row>
    <row r="51" spans="1:9" x14ac:dyDescent="0.25">
      <c r="A51">
        <v>2000000848</v>
      </c>
      <c r="B51" t="s">
        <v>3</v>
      </c>
      <c r="C51" t="s">
        <v>24</v>
      </c>
      <c r="D51">
        <v>-147.69999999999999</v>
      </c>
      <c r="F51" s="8">
        <v>44052</v>
      </c>
      <c r="G51" t="str">
        <f t="shared" si="0"/>
        <v>August</v>
      </c>
      <c r="H51" t="str">
        <f t="shared" si="1"/>
        <v>Week 3</v>
      </c>
      <c r="I51" t="str">
        <f t="shared" si="2"/>
        <v>Quarter 3</v>
      </c>
    </row>
    <row r="52" spans="1:9" x14ac:dyDescent="0.25">
      <c r="A52">
        <v>2000000849</v>
      </c>
      <c r="B52" t="s">
        <v>3</v>
      </c>
      <c r="C52" t="s">
        <v>24</v>
      </c>
      <c r="D52">
        <v>-318.89</v>
      </c>
      <c r="F52" s="8">
        <v>44052</v>
      </c>
      <c r="G52" t="str">
        <f t="shared" si="0"/>
        <v>August</v>
      </c>
      <c r="H52" t="str">
        <f t="shared" si="1"/>
        <v>Week 3</v>
      </c>
      <c r="I52" t="str">
        <f t="shared" si="2"/>
        <v>Quarter 3</v>
      </c>
    </row>
    <row r="53" spans="1:9" x14ac:dyDescent="0.25">
      <c r="A53">
        <v>2000000850</v>
      </c>
      <c r="B53" t="s">
        <v>3</v>
      </c>
      <c r="C53" t="s">
        <v>24</v>
      </c>
      <c r="D53">
        <v>-256.64999999999998</v>
      </c>
      <c r="F53" s="8">
        <v>44052</v>
      </c>
      <c r="G53" t="str">
        <f t="shared" si="0"/>
        <v>August</v>
      </c>
      <c r="H53" t="str">
        <f t="shared" si="1"/>
        <v>Week 3</v>
      </c>
      <c r="I53" t="str">
        <f t="shared" si="2"/>
        <v>Quarter 3</v>
      </c>
    </row>
    <row r="54" spans="1:9" x14ac:dyDescent="0.25">
      <c r="A54">
        <v>2000000851</v>
      </c>
      <c r="B54" t="s">
        <v>3</v>
      </c>
      <c r="C54" t="s">
        <v>24</v>
      </c>
      <c r="D54">
        <v>-99.45</v>
      </c>
      <c r="F54" s="8">
        <v>44052</v>
      </c>
      <c r="G54" t="str">
        <f t="shared" si="0"/>
        <v>August</v>
      </c>
      <c r="H54" t="str">
        <f t="shared" si="1"/>
        <v>Week 3</v>
      </c>
      <c r="I54" t="str">
        <f t="shared" si="2"/>
        <v>Quarter 3</v>
      </c>
    </row>
    <row r="55" spans="1:9" x14ac:dyDescent="0.25">
      <c r="A55">
        <v>2000000852</v>
      </c>
      <c r="B55" t="s">
        <v>3</v>
      </c>
      <c r="C55" t="s">
        <v>24</v>
      </c>
      <c r="D55">
        <v>-236.7</v>
      </c>
      <c r="F55" s="8">
        <v>44052</v>
      </c>
      <c r="G55" t="str">
        <f t="shared" si="0"/>
        <v>August</v>
      </c>
      <c r="H55" t="str">
        <f t="shared" si="1"/>
        <v>Week 3</v>
      </c>
      <c r="I55" t="str">
        <f t="shared" si="2"/>
        <v>Quarter 3</v>
      </c>
    </row>
    <row r="56" spans="1:9" x14ac:dyDescent="0.25">
      <c r="A56">
        <v>2000000853</v>
      </c>
      <c r="B56" t="s">
        <v>3</v>
      </c>
      <c r="C56" t="s">
        <v>24</v>
      </c>
      <c r="D56">
        <v>-27.2</v>
      </c>
      <c r="F56" s="8">
        <v>44052</v>
      </c>
      <c r="G56" t="str">
        <f t="shared" si="0"/>
        <v>August</v>
      </c>
      <c r="H56" t="str">
        <f t="shared" si="1"/>
        <v>Week 3</v>
      </c>
      <c r="I56" t="str">
        <f t="shared" si="2"/>
        <v>Quarter 3</v>
      </c>
    </row>
    <row r="57" spans="1:9" x14ac:dyDescent="0.25">
      <c r="A57">
        <v>2000000854</v>
      </c>
      <c r="B57" t="s">
        <v>3</v>
      </c>
      <c r="C57" t="s">
        <v>24</v>
      </c>
      <c r="D57">
        <v>-3319.55</v>
      </c>
      <c r="F57" s="8">
        <v>44052</v>
      </c>
      <c r="G57" t="str">
        <f t="shared" si="0"/>
        <v>August</v>
      </c>
      <c r="H57" t="str">
        <f t="shared" si="1"/>
        <v>Week 3</v>
      </c>
      <c r="I57" t="str">
        <f t="shared" si="2"/>
        <v>Quarter 3</v>
      </c>
    </row>
    <row r="58" spans="1:9" x14ac:dyDescent="0.25">
      <c r="A58">
        <v>2000000843</v>
      </c>
      <c r="B58" t="s">
        <v>3</v>
      </c>
      <c r="C58" t="s">
        <v>25</v>
      </c>
      <c r="D58">
        <v>-6.3</v>
      </c>
      <c r="F58" s="8">
        <v>44052</v>
      </c>
      <c r="G58" t="str">
        <f t="shared" si="0"/>
        <v>August</v>
      </c>
      <c r="H58" t="str">
        <f t="shared" si="1"/>
        <v>Week 3</v>
      </c>
      <c r="I58" t="str">
        <f t="shared" si="2"/>
        <v>Quarter 3</v>
      </c>
    </row>
    <row r="59" spans="1:9" x14ac:dyDescent="0.25">
      <c r="A59">
        <v>2000000844</v>
      </c>
      <c r="B59" t="s">
        <v>3</v>
      </c>
      <c r="C59" t="s">
        <v>25</v>
      </c>
      <c r="D59">
        <v>-18.95</v>
      </c>
      <c r="F59" s="8">
        <v>44052</v>
      </c>
      <c r="G59" t="str">
        <f t="shared" si="0"/>
        <v>August</v>
      </c>
      <c r="H59" t="str">
        <f t="shared" si="1"/>
        <v>Week 3</v>
      </c>
      <c r="I59" t="str">
        <f t="shared" si="2"/>
        <v>Quarter 3</v>
      </c>
    </row>
    <row r="60" spans="1:9" x14ac:dyDescent="0.25">
      <c r="A60">
        <v>2000000845</v>
      </c>
      <c r="B60" t="s">
        <v>3</v>
      </c>
      <c r="C60" t="s">
        <v>25</v>
      </c>
      <c r="D60">
        <v>-143.55000000000001</v>
      </c>
      <c r="F60" s="8">
        <v>44052</v>
      </c>
      <c r="G60" t="str">
        <f t="shared" si="0"/>
        <v>August</v>
      </c>
      <c r="H60" t="str">
        <f t="shared" si="1"/>
        <v>Week 3</v>
      </c>
      <c r="I60" t="str">
        <f t="shared" si="2"/>
        <v>Quarter 3</v>
      </c>
    </row>
    <row r="61" spans="1:9" x14ac:dyDescent="0.25">
      <c r="A61">
        <v>2000000855</v>
      </c>
      <c r="B61" t="s">
        <v>3</v>
      </c>
      <c r="C61" t="s">
        <v>24</v>
      </c>
      <c r="D61">
        <v>-12.65</v>
      </c>
      <c r="F61" s="8">
        <v>44052</v>
      </c>
      <c r="G61" t="str">
        <f t="shared" si="0"/>
        <v>August</v>
      </c>
      <c r="H61" t="str">
        <f t="shared" si="1"/>
        <v>Week 3</v>
      </c>
      <c r="I61" t="str">
        <f t="shared" si="2"/>
        <v>Quarter 3</v>
      </c>
    </row>
    <row r="62" spans="1:9" x14ac:dyDescent="0.25">
      <c r="B62" t="s">
        <v>3</v>
      </c>
      <c r="D62">
        <v>-6642.24</v>
      </c>
      <c r="F62" s="8">
        <v>44052</v>
      </c>
      <c r="G62" t="str">
        <f t="shared" si="0"/>
        <v>August</v>
      </c>
      <c r="H62" t="str">
        <f t="shared" si="1"/>
        <v>Week 3</v>
      </c>
      <c r="I62" t="str">
        <f t="shared" si="2"/>
        <v>Quarter 3</v>
      </c>
    </row>
    <row r="63" spans="1:9" x14ac:dyDescent="0.25">
      <c r="A63">
        <v>2000000846</v>
      </c>
      <c r="B63" t="s">
        <v>3</v>
      </c>
      <c r="C63" t="s">
        <v>24</v>
      </c>
      <c r="D63">
        <v>-54.65</v>
      </c>
      <c r="F63" s="8">
        <v>44052</v>
      </c>
      <c r="G63" t="str">
        <f t="shared" si="0"/>
        <v>August</v>
      </c>
      <c r="H63" t="str">
        <f t="shared" si="1"/>
        <v>Week 3</v>
      </c>
      <c r="I63" t="str">
        <f t="shared" si="2"/>
        <v>Quarter 3</v>
      </c>
    </row>
    <row r="64" spans="1:9" x14ac:dyDescent="0.25">
      <c r="A64">
        <v>2000000847</v>
      </c>
      <c r="B64" t="s">
        <v>3</v>
      </c>
      <c r="C64" t="s">
        <v>24</v>
      </c>
      <c r="D64">
        <v>-2000</v>
      </c>
      <c r="F64" s="8">
        <v>44052</v>
      </c>
      <c r="G64" t="str">
        <f t="shared" si="0"/>
        <v>August</v>
      </c>
      <c r="H64" t="str">
        <f t="shared" si="1"/>
        <v>Week 3</v>
      </c>
      <c r="I64" t="str">
        <f t="shared" si="2"/>
        <v>Quarter 3</v>
      </c>
    </row>
    <row r="65" spans="1:9" x14ac:dyDescent="0.25">
      <c r="A65">
        <v>2000000848</v>
      </c>
      <c r="B65" t="s">
        <v>3</v>
      </c>
      <c r="C65" t="s">
        <v>24</v>
      </c>
      <c r="D65">
        <v>-147.69999999999999</v>
      </c>
      <c r="F65" s="8">
        <v>44052</v>
      </c>
      <c r="G65" t="str">
        <f t="shared" si="0"/>
        <v>August</v>
      </c>
      <c r="H65" t="str">
        <f t="shared" si="1"/>
        <v>Week 3</v>
      </c>
      <c r="I65" t="str">
        <f t="shared" si="2"/>
        <v>Quarter 3</v>
      </c>
    </row>
    <row r="66" spans="1:9" x14ac:dyDescent="0.25">
      <c r="A66">
        <v>2000000849</v>
      </c>
      <c r="B66" t="s">
        <v>3</v>
      </c>
      <c r="C66" t="s">
        <v>24</v>
      </c>
      <c r="D66">
        <v>-318.89</v>
      </c>
      <c r="F66" s="8">
        <v>44052</v>
      </c>
      <c r="G66" t="str">
        <f t="shared" si="0"/>
        <v>August</v>
      </c>
      <c r="H66" t="str">
        <f t="shared" si="1"/>
        <v>Week 3</v>
      </c>
      <c r="I66" t="str">
        <f t="shared" si="2"/>
        <v>Quarter 3</v>
      </c>
    </row>
    <row r="67" spans="1:9" x14ac:dyDescent="0.25">
      <c r="A67">
        <v>2000000850</v>
      </c>
      <c r="B67" t="s">
        <v>3</v>
      </c>
      <c r="C67" t="s">
        <v>24</v>
      </c>
      <c r="D67">
        <v>-256.64999999999998</v>
      </c>
      <c r="F67" s="8">
        <v>44052</v>
      </c>
      <c r="G67" t="str">
        <f t="shared" ref="G67:G103" si="3">TEXT(F67,"mmmm")</f>
        <v>August</v>
      </c>
      <c r="H67" t="str">
        <f t="shared" ref="H67:H103" si="4">"Week "&amp;((WEEKNUM(F67)-WEEKNUM(DATE(YEAR(F67),MONTH(F67),1))+1))</f>
        <v>Week 3</v>
      </c>
      <c r="I67" t="str">
        <f t="shared" ref="I67:I103" si="5">"Quarter " &amp; ROUNDUP((MONTH(F67))/3,0)</f>
        <v>Quarter 3</v>
      </c>
    </row>
    <row r="68" spans="1:9" x14ac:dyDescent="0.25">
      <c r="A68">
        <v>2000000851</v>
      </c>
      <c r="B68" t="s">
        <v>3</v>
      </c>
      <c r="C68" t="s">
        <v>24</v>
      </c>
      <c r="D68">
        <v>-99.45</v>
      </c>
      <c r="F68" s="8">
        <v>44052</v>
      </c>
      <c r="G68" t="str">
        <f t="shared" si="3"/>
        <v>August</v>
      </c>
      <c r="H68" t="str">
        <f t="shared" si="4"/>
        <v>Week 3</v>
      </c>
      <c r="I68" t="str">
        <f t="shared" si="5"/>
        <v>Quarter 3</v>
      </c>
    </row>
    <row r="69" spans="1:9" x14ac:dyDescent="0.25">
      <c r="A69">
        <v>2000000852</v>
      </c>
      <c r="B69" t="s">
        <v>3</v>
      </c>
      <c r="C69" t="s">
        <v>24</v>
      </c>
      <c r="D69">
        <v>-236.7</v>
      </c>
      <c r="F69" s="8">
        <v>44052</v>
      </c>
      <c r="G69" t="str">
        <f t="shared" si="3"/>
        <v>August</v>
      </c>
      <c r="H69" t="str">
        <f t="shared" si="4"/>
        <v>Week 3</v>
      </c>
      <c r="I69" t="str">
        <f t="shared" si="5"/>
        <v>Quarter 3</v>
      </c>
    </row>
    <row r="70" spans="1:9" x14ac:dyDescent="0.25">
      <c r="A70">
        <v>2000000853</v>
      </c>
      <c r="B70" t="s">
        <v>3</v>
      </c>
      <c r="C70" t="s">
        <v>24</v>
      </c>
      <c r="D70">
        <v>-27.2</v>
      </c>
      <c r="F70" s="8">
        <v>44052</v>
      </c>
      <c r="G70" t="str">
        <f t="shared" si="3"/>
        <v>August</v>
      </c>
      <c r="H70" t="str">
        <f t="shared" si="4"/>
        <v>Week 3</v>
      </c>
      <c r="I70" t="str">
        <f t="shared" si="5"/>
        <v>Quarter 3</v>
      </c>
    </row>
    <row r="71" spans="1:9" x14ac:dyDescent="0.25">
      <c r="A71">
        <v>2000000854</v>
      </c>
      <c r="B71" t="s">
        <v>3</v>
      </c>
      <c r="C71" t="s">
        <v>24</v>
      </c>
      <c r="D71">
        <v>-3319.55</v>
      </c>
      <c r="F71" s="8">
        <v>44052</v>
      </c>
      <c r="G71" t="str">
        <f t="shared" si="3"/>
        <v>August</v>
      </c>
      <c r="H71" t="str">
        <f t="shared" si="4"/>
        <v>Week 3</v>
      </c>
      <c r="I71" t="str">
        <f t="shared" si="5"/>
        <v>Quarter 3</v>
      </c>
    </row>
    <row r="72" spans="1:9" x14ac:dyDescent="0.25">
      <c r="A72">
        <v>2000000843</v>
      </c>
      <c r="B72" t="s">
        <v>3</v>
      </c>
      <c r="C72" t="s">
        <v>25</v>
      </c>
      <c r="D72">
        <v>-6.3</v>
      </c>
      <c r="F72" s="8">
        <v>44052</v>
      </c>
      <c r="G72" t="str">
        <f t="shared" si="3"/>
        <v>August</v>
      </c>
      <c r="H72" t="str">
        <f t="shared" si="4"/>
        <v>Week 3</v>
      </c>
      <c r="I72" t="str">
        <f t="shared" si="5"/>
        <v>Quarter 3</v>
      </c>
    </row>
    <row r="73" spans="1:9" x14ac:dyDescent="0.25">
      <c r="A73">
        <v>2000000844</v>
      </c>
      <c r="B73" t="s">
        <v>3</v>
      </c>
      <c r="C73" t="s">
        <v>25</v>
      </c>
      <c r="D73">
        <v>-18.95</v>
      </c>
      <c r="F73" s="8">
        <v>44052</v>
      </c>
      <c r="G73" t="str">
        <f t="shared" si="3"/>
        <v>August</v>
      </c>
      <c r="H73" t="str">
        <f t="shared" si="4"/>
        <v>Week 3</v>
      </c>
      <c r="I73" t="str">
        <f t="shared" si="5"/>
        <v>Quarter 3</v>
      </c>
    </row>
    <row r="74" spans="1:9" x14ac:dyDescent="0.25">
      <c r="A74">
        <v>2000000845</v>
      </c>
      <c r="B74" t="s">
        <v>3</v>
      </c>
      <c r="C74" t="s">
        <v>25</v>
      </c>
      <c r="D74">
        <v>-143.55000000000001</v>
      </c>
      <c r="F74" s="8">
        <v>44052</v>
      </c>
      <c r="G74" t="str">
        <f t="shared" si="3"/>
        <v>August</v>
      </c>
      <c r="H74" t="str">
        <f t="shared" si="4"/>
        <v>Week 3</v>
      </c>
      <c r="I74" t="str">
        <f t="shared" si="5"/>
        <v>Quarter 3</v>
      </c>
    </row>
    <row r="75" spans="1:9" x14ac:dyDescent="0.25">
      <c r="A75">
        <v>2000000855</v>
      </c>
      <c r="B75" t="s">
        <v>3</v>
      </c>
      <c r="C75" t="s">
        <v>24</v>
      </c>
      <c r="D75">
        <v>-12.65</v>
      </c>
      <c r="F75" s="8">
        <v>44052</v>
      </c>
      <c r="G75" t="str">
        <f t="shared" si="3"/>
        <v>August</v>
      </c>
      <c r="H75" t="str">
        <f t="shared" si="4"/>
        <v>Week 3</v>
      </c>
      <c r="I75" t="str">
        <f t="shared" si="5"/>
        <v>Quarter 3</v>
      </c>
    </row>
    <row r="76" spans="1:9" x14ac:dyDescent="0.25">
      <c r="B76" t="s">
        <v>3</v>
      </c>
      <c r="D76">
        <v>-6642.24</v>
      </c>
      <c r="F76" s="8">
        <v>44052</v>
      </c>
      <c r="G76" t="str">
        <f t="shared" si="3"/>
        <v>August</v>
      </c>
      <c r="H76" t="str">
        <f t="shared" si="4"/>
        <v>Week 3</v>
      </c>
      <c r="I76" t="str">
        <f t="shared" si="5"/>
        <v>Quarter 3</v>
      </c>
    </row>
    <row r="77" spans="1:9" x14ac:dyDescent="0.25">
      <c r="A77">
        <v>2000000846</v>
      </c>
      <c r="B77" t="s">
        <v>3</v>
      </c>
      <c r="C77" t="s">
        <v>24</v>
      </c>
      <c r="D77">
        <v>-54.65</v>
      </c>
      <c r="F77" s="8">
        <v>44052</v>
      </c>
      <c r="G77" t="str">
        <f t="shared" si="3"/>
        <v>August</v>
      </c>
      <c r="H77" t="str">
        <f t="shared" si="4"/>
        <v>Week 3</v>
      </c>
      <c r="I77" t="str">
        <f t="shared" si="5"/>
        <v>Quarter 3</v>
      </c>
    </row>
    <row r="78" spans="1:9" x14ac:dyDescent="0.25">
      <c r="A78">
        <v>2000000847</v>
      </c>
      <c r="B78" t="s">
        <v>3</v>
      </c>
      <c r="C78" t="s">
        <v>24</v>
      </c>
      <c r="D78">
        <v>-2000</v>
      </c>
      <c r="F78" s="8">
        <v>44052</v>
      </c>
      <c r="G78" t="str">
        <f t="shared" si="3"/>
        <v>August</v>
      </c>
      <c r="H78" t="str">
        <f t="shared" si="4"/>
        <v>Week 3</v>
      </c>
      <c r="I78" t="str">
        <f t="shared" si="5"/>
        <v>Quarter 3</v>
      </c>
    </row>
    <row r="79" spans="1:9" x14ac:dyDescent="0.25">
      <c r="A79">
        <v>2000000848</v>
      </c>
      <c r="B79" t="s">
        <v>3</v>
      </c>
      <c r="C79" t="s">
        <v>24</v>
      </c>
      <c r="D79">
        <v>-147.69999999999999</v>
      </c>
      <c r="F79" s="8">
        <v>44052</v>
      </c>
      <c r="G79" t="str">
        <f t="shared" si="3"/>
        <v>August</v>
      </c>
      <c r="H79" t="str">
        <f t="shared" si="4"/>
        <v>Week 3</v>
      </c>
      <c r="I79" t="str">
        <f t="shared" si="5"/>
        <v>Quarter 3</v>
      </c>
    </row>
    <row r="80" spans="1:9" x14ac:dyDescent="0.25">
      <c r="A80">
        <v>2000000849</v>
      </c>
      <c r="B80" t="s">
        <v>3</v>
      </c>
      <c r="C80" t="s">
        <v>24</v>
      </c>
      <c r="D80">
        <v>-318.89</v>
      </c>
      <c r="F80" s="8">
        <v>44052</v>
      </c>
      <c r="G80" t="str">
        <f t="shared" si="3"/>
        <v>August</v>
      </c>
      <c r="H80" t="str">
        <f t="shared" si="4"/>
        <v>Week 3</v>
      </c>
      <c r="I80" t="str">
        <f t="shared" si="5"/>
        <v>Quarter 3</v>
      </c>
    </row>
    <row r="81" spans="1:9" x14ac:dyDescent="0.25">
      <c r="A81">
        <v>2000000850</v>
      </c>
      <c r="B81" t="s">
        <v>3</v>
      </c>
      <c r="C81" t="s">
        <v>24</v>
      </c>
      <c r="D81">
        <v>-256.64999999999998</v>
      </c>
      <c r="F81" s="8">
        <v>44052</v>
      </c>
      <c r="G81" t="str">
        <f t="shared" si="3"/>
        <v>August</v>
      </c>
      <c r="H81" t="str">
        <f t="shared" si="4"/>
        <v>Week 3</v>
      </c>
      <c r="I81" t="str">
        <f t="shared" si="5"/>
        <v>Quarter 3</v>
      </c>
    </row>
    <row r="82" spans="1:9" x14ac:dyDescent="0.25">
      <c r="A82">
        <v>2000000851</v>
      </c>
      <c r="B82" t="s">
        <v>3</v>
      </c>
      <c r="C82" t="s">
        <v>24</v>
      </c>
      <c r="D82">
        <v>-99.45</v>
      </c>
      <c r="F82" s="8">
        <v>44052</v>
      </c>
      <c r="G82" t="str">
        <f t="shared" si="3"/>
        <v>August</v>
      </c>
      <c r="H82" t="str">
        <f t="shared" si="4"/>
        <v>Week 3</v>
      </c>
      <c r="I82" t="str">
        <f t="shared" si="5"/>
        <v>Quarter 3</v>
      </c>
    </row>
    <row r="83" spans="1:9" x14ac:dyDescent="0.25">
      <c r="A83">
        <v>2000000852</v>
      </c>
      <c r="B83" t="s">
        <v>3</v>
      </c>
      <c r="C83" t="s">
        <v>24</v>
      </c>
      <c r="D83">
        <v>-236.7</v>
      </c>
      <c r="F83" s="8">
        <v>44052</v>
      </c>
      <c r="G83" t="str">
        <f t="shared" si="3"/>
        <v>August</v>
      </c>
      <c r="H83" t="str">
        <f t="shared" si="4"/>
        <v>Week 3</v>
      </c>
      <c r="I83" t="str">
        <f t="shared" si="5"/>
        <v>Quarter 3</v>
      </c>
    </row>
    <row r="84" spans="1:9" x14ac:dyDescent="0.25">
      <c r="A84">
        <v>2000000853</v>
      </c>
      <c r="B84" t="s">
        <v>3</v>
      </c>
      <c r="C84" t="s">
        <v>24</v>
      </c>
      <c r="D84">
        <v>-27.2</v>
      </c>
      <c r="F84" s="8">
        <v>44052</v>
      </c>
      <c r="G84" t="str">
        <f t="shared" si="3"/>
        <v>August</v>
      </c>
      <c r="H84" t="str">
        <f t="shared" si="4"/>
        <v>Week 3</v>
      </c>
      <c r="I84" t="str">
        <f t="shared" si="5"/>
        <v>Quarter 3</v>
      </c>
    </row>
    <row r="85" spans="1:9" x14ac:dyDescent="0.25">
      <c r="A85">
        <v>2000000854</v>
      </c>
      <c r="B85" t="s">
        <v>3</v>
      </c>
      <c r="C85" t="s">
        <v>24</v>
      </c>
      <c r="D85">
        <v>-3319.55</v>
      </c>
      <c r="F85" s="8">
        <v>44052</v>
      </c>
      <c r="G85" t="str">
        <f t="shared" si="3"/>
        <v>August</v>
      </c>
      <c r="H85" t="str">
        <f t="shared" si="4"/>
        <v>Week 3</v>
      </c>
      <c r="I85" t="str">
        <f t="shared" si="5"/>
        <v>Quarter 3</v>
      </c>
    </row>
    <row r="86" spans="1:9" x14ac:dyDescent="0.25">
      <c r="A86">
        <v>2000000843</v>
      </c>
      <c r="B86" t="s">
        <v>3</v>
      </c>
      <c r="C86" t="s">
        <v>25</v>
      </c>
      <c r="D86">
        <v>-6.3</v>
      </c>
      <c r="F86" s="8">
        <v>44052</v>
      </c>
      <c r="G86" t="str">
        <f t="shared" si="3"/>
        <v>August</v>
      </c>
      <c r="H86" t="str">
        <f t="shared" si="4"/>
        <v>Week 3</v>
      </c>
      <c r="I86" t="str">
        <f t="shared" si="5"/>
        <v>Quarter 3</v>
      </c>
    </row>
    <row r="87" spans="1:9" x14ac:dyDescent="0.25">
      <c r="A87">
        <v>2000000844</v>
      </c>
      <c r="B87" t="s">
        <v>3</v>
      </c>
      <c r="C87" t="s">
        <v>25</v>
      </c>
      <c r="D87">
        <v>-18.95</v>
      </c>
      <c r="F87" s="8">
        <v>44052</v>
      </c>
      <c r="G87" t="str">
        <f t="shared" si="3"/>
        <v>August</v>
      </c>
      <c r="H87" t="str">
        <f t="shared" si="4"/>
        <v>Week 3</v>
      </c>
      <c r="I87" t="str">
        <f t="shared" si="5"/>
        <v>Quarter 3</v>
      </c>
    </row>
    <row r="88" spans="1:9" x14ac:dyDescent="0.25">
      <c r="A88">
        <v>2000000845</v>
      </c>
      <c r="B88" t="s">
        <v>3</v>
      </c>
      <c r="C88" t="s">
        <v>25</v>
      </c>
      <c r="D88">
        <v>-143.55000000000001</v>
      </c>
      <c r="F88" s="8">
        <v>44052</v>
      </c>
      <c r="G88" t="str">
        <f t="shared" si="3"/>
        <v>August</v>
      </c>
      <c r="H88" t="str">
        <f t="shared" si="4"/>
        <v>Week 3</v>
      </c>
      <c r="I88" t="str">
        <f t="shared" si="5"/>
        <v>Quarter 3</v>
      </c>
    </row>
    <row r="89" spans="1:9" x14ac:dyDescent="0.25">
      <c r="A89">
        <v>2000000855</v>
      </c>
      <c r="B89" t="s">
        <v>3</v>
      </c>
      <c r="C89" t="s">
        <v>24</v>
      </c>
      <c r="D89">
        <v>-12.65</v>
      </c>
      <c r="F89" s="8">
        <v>44052</v>
      </c>
      <c r="G89" t="str">
        <f t="shared" si="3"/>
        <v>August</v>
      </c>
      <c r="H89" t="str">
        <f t="shared" si="4"/>
        <v>Week 3</v>
      </c>
      <c r="I89" t="str">
        <f t="shared" si="5"/>
        <v>Quarter 3</v>
      </c>
    </row>
    <row r="90" spans="1:9" x14ac:dyDescent="0.25">
      <c r="B90" t="s">
        <v>3</v>
      </c>
      <c r="D90">
        <v>-6642.24</v>
      </c>
      <c r="F90" s="8">
        <v>44052</v>
      </c>
      <c r="G90" t="str">
        <f t="shared" si="3"/>
        <v>August</v>
      </c>
      <c r="H90" t="str">
        <f t="shared" si="4"/>
        <v>Week 3</v>
      </c>
      <c r="I90" t="str">
        <f t="shared" si="5"/>
        <v>Quarter 3</v>
      </c>
    </row>
    <row r="91" spans="1:9" x14ac:dyDescent="0.25">
      <c r="A91">
        <v>2000000846</v>
      </c>
      <c r="B91" t="s">
        <v>3</v>
      </c>
      <c r="C91" t="s">
        <v>24</v>
      </c>
      <c r="D91">
        <v>-54.65</v>
      </c>
      <c r="F91" s="8">
        <v>44052</v>
      </c>
      <c r="G91" t="str">
        <f t="shared" si="3"/>
        <v>August</v>
      </c>
      <c r="H91" t="str">
        <f t="shared" si="4"/>
        <v>Week 3</v>
      </c>
      <c r="I91" t="str">
        <f t="shared" si="5"/>
        <v>Quarter 3</v>
      </c>
    </row>
    <row r="92" spans="1:9" x14ac:dyDescent="0.25">
      <c r="A92">
        <v>2000000847</v>
      </c>
      <c r="B92" t="s">
        <v>3</v>
      </c>
      <c r="C92" t="s">
        <v>24</v>
      </c>
      <c r="D92">
        <v>-2000</v>
      </c>
      <c r="F92" s="8">
        <v>44052</v>
      </c>
      <c r="G92" t="str">
        <f t="shared" si="3"/>
        <v>August</v>
      </c>
      <c r="H92" t="str">
        <f t="shared" si="4"/>
        <v>Week 3</v>
      </c>
      <c r="I92" t="str">
        <f t="shared" si="5"/>
        <v>Quarter 3</v>
      </c>
    </row>
    <row r="93" spans="1:9" x14ac:dyDescent="0.25">
      <c r="A93">
        <v>2000000848</v>
      </c>
      <c r="B93" t="s">
        <v>3</v>
      </c>
      <c r="C93" t="s">
        <v>24</v>
      </c>
      <c r="D93">
        <v>-147.69999999999999</v>
      </c>
      <c r="F93" s="8">
        <v>44052</v>
      </c>
      <c r="G93" t="str">
        <f t="shared" si="3"/>
        <v>August</v>
      </c>
      <c r="H93" t="str">
        <f t="shared" si="4"/>
        <v>Week 3</v>
      </c>
      <c r="I93" t="str">
        <f t="shared" si="5"/>
        <v>Quarter 3</v>
      </c>
    </row>
    <row r="94" spans="1:9" x14ac:dyDescent="0.25">
      <c r="A94">
        <v>2000000849</v>
      </c>
      <c r="B94" t="s">
        <v>3</v>
      </c>
      <c r="C94" t="s">
        <v>24</v>
      </c>
      <c r="D94">
        <v>-318.89</v>
      </c>
      <c r="F94" s="8">
        <v>44052</v>
      </c>
      <c r="G94" t="str">
        <f t="shared" si="3"/>
        <v>August</v>
      </c>
      <c r="H94" t="str">
        <f t="shared" si="4"/>
        <v>Week 3</v>
      </c>
      <c r="I94" t="str">
        <f t="shared" si="5"/>
        <v>Quarter 3</v>
      </c>
    </row>
    <row r="95" spans="1:9" x14ac:dyDescent="0.25">
      <c r="A95">
        <v>2000000850</v>
      </c>
      <c r="B95" t="s">
        <v>3</v>
      </c>
      <c r="C95" t="s">
        <v>24</v>
      </c>
      <c r="D95">
        <v>-256.64999999999998</v>
      </c>
      <c r="F95" s="8">
        <v>44052</v>
      </c>
      <c r="G95" t="str">
        <f t="shared" si="3"/>
        <v>August</v>
      </c>
      <c r="H95" t="str">
        <f t="shared" si="4"/>
        <v>Week 3</v>
      </c>
      <c r="I95" t="str">
        <f t="shared" si="5"/>
        <v>Quarter 3</v>
      </c>
    </row>
    <row r="96" spans="1:9" x14ac:dyDescent="0.25">
      <c r="A96">
        <v>2000000851</v>
      </c>
      <c r="B96" t="s">
        <v>3</v>
      </c>
      <c r="C96" t="s">
        <v>24</v>
      </c>
      <c r="D96">
        <v>-99.45</v>
      </c>
      <c r="F96" s="8">
        <v>44052</v>
      </c>
      <c r="G96" t="str">
        <f t="shared" si="3"/>
        <v>August</v>
      </c>
      <c r="H96" t="str">
        <f t="shared" si="4"/>
        <v>Week 3</v>
      </c>
      <c r="I96" t="str">
        <f t="shared" si="5"/>
        <v>Quarter 3</v>
      </c>
    </row>
    <row r="97" spans="1:9" x14ac:dyDescent="0.25">
      <c r="A97">
        <v>2000000852</v>
      </c>
      <c r="B97" t="s">
        <v>3</v>
      </c>
      <c r="C97" t="s">
        <v>24</v>
      </c>
      <c r="D97">
        <v>-236.7</v>
      </c>
      <c r="F97" s="8">
        <v>44052</v>
      </c>
      <c r="G97" t="str">
        <f t="shared" si="3"/>
        <v>August</v>
      </c>
      <c r="H97" t="str">
        <f t="shared" si="4"/>
        <v>Week 3</v>
      </c>
      <c r="I97" t="str">
        <f t="shared" si="5"/>
        <v>Quarter 3</v>
      </c>
    </row>
    <row r="98" spans="1:9" x14ac:dyDescent="0.25">
      <c r="A98">
        <v>2000000853</v>
      </c>
      <c r="B98" t="s">
        <v>3</v>
      </c>
      <c r="C98" t="s">
        <v>24</v>
      </c>
      <c r="D98">
        <v>-27.2</v>
      </c>
      <c r="F98" s="8">
        <v>44052</v>
      </c>
      <c r="G98" t="str">
        <f t="shared" si="3"/>
        <v>August</v>
      </c>
      <c r="H98" t="str">
        <f t="shared" si="4"/>
        <v>Week 3</v>
      </c>
      <c r="I98" t="str">
        <f t="shared" si="5"/>
        <v>Quarter 3</v>
      </c>
    </row>
    <row r="99" spans="1:9" x14ac:dyDescent="0.25">
      <c r="A99">
        <v>2000000854</v>
      </c>
      <c r="B99" t="s">
        <v>3</v>
      </c>
      <c r="C99" t="s">
        <v>24</v>
      </c>
      <c r="D99">
        <v>-3319.55</v>
      </c>
      <c r="F99" s="8">
        <v>44052</v>
      </c>
      <c r="G99" t="str">
        <f t="shared" si="3"/>
        <v>August</v>
      </c>
      <c r="H99" t="str">
        <f t="shared" si="4"/>
        <v>Week 3</v>
      </c>
      <c r="I99" t="str">
        <f t="shared" si="5"/>
        <v>Quarter 3</v>
      </c>
    </row>
    <row r="100" spans="1:9" x14ac:dyDescent="0.25">
      <c r="A100">
        <v>2000000843</v>
      </c>
      <c r="B100" t="s">
        <v>3</v>
      </c>
      <c r="C100" t="s">
        <v>25</v>
      </c>
      <c r="D100">
        <v>-6.3</v>
      </c>
      <c r="F100" s="8">
        <v>44052</v>
      </c>
      <c r="G100" t="str">
        <f t="shared" si="3"/>
        <v>August</v>
      </c>
      <c r="H100" t="str">
        <f t="shared" si="4"/>
        <v>Week 3</v>
      </c>
      <c r="I100" t="str">
        <f t="shared" si="5"/>
        <v>Quarter 3</v>
      </c>
    </row>
    <row r="101" spans="1:9" x14ac:dyDescent="0.25">
      <c r="A101">
        <v>2000000844</v>
      </c>
      <c r="B101" t="s">
        <v>3</v>
      </c>
      <c r="C101" t="s">
        <v>25</v>
      </c>
      <c r="D101">
        <v>-18.95</v>
      </c>
      <c r="F101" s="8">
        <v>44052</v>
      </c>
      <c r="G101" t="str">
        <f t="shared" si="3"/>
        <v>August</v>
      </c>
      <c r="H101" t="str">
        <f t="shared" si="4"/>
        <v>Week 3</v>
      </c>
      <c r="I101" t="str">
        <f t="shared" si="5"/>
        <v>Quarter 3</v>
      </c>
    </row>
    <row r="102" spans="1:9" x14ac:dyDescent="0.25">
      <c r="A102">
        <v>2000000845</v>
      </c>
      <c r="B102" t="s">
        <v>3</v>
      </c>
      <c r="C102" t="s">
        <v>25</v>
      </c>
      <c r="D102">
        <v>-143.55000000000001</v>
      </c>
      <c r="F102" s="8">
        <v>44052</v>
      </c>
      <c r="G102" t="str">
        <f t="shared" si="3"/>
        <v>August</v>
      </c>
      <c r="H102" t="str">
        <f t="shared" si="4"/>
        <v>Week 3</v>
      </c>
      <c r="I102" t="str">
        <f t="shared" si="5"/>
        <v>Quarter 3</v>
      </c>
    </row>
    <row r="103" spans="1:9" x14ac:dyDescent="0.25">
      <c r="A103">
        <v>2000000855</v>
      </c>
      <c r="B103" t="s">
        <v>3</v>
      </c>
      <c r="C103" t="s">
        <v>24</v>
      </c>
      <c r="D103">
        <v>-12.65</v>
      </c>
      <c r="F103" s="8">
        <v>44052</v>
      </c>
      <c r="G103" t="str">
        <f t="shared" si="3"/>
        <v>August</v>
      </c>
      <c r="H103" t="str">
        <f t="shared" si="4"/>
        <v>Week 3</v>
      </c>
      <c r="I103" t="str">
        <f t="shared" si="5"/>
        <v>Quarter 3</v>
      </c>
    </row>
    <row r="104" spans="1:9" x14ac:dyDescent="0.25">
      <c r="B104" t="s">
        <v>3</v>
      </c>
      <c r="D104">
        <v>-6642.24</v>
      </c>
      <c r="F104" s="8">
        <v>44052</v>
      </c>
    </row>
  </sheetData>
  <autoFilter ref="A1:I1" xr:uid="{48ACDD16-5343-45C6-8BDF-B22DEF531AFC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38E6-85CC-434F-ACD3-70CAB0C4D5E5}">
  <sheetPr codeName="Sheet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07DF5-F139-4557-A9EC-0F4A091A7705}">
  <sheetPr codeName="Sheet19"/>
  <dimension ref="A1:F11"/>
  <sheetViews>
    <sheetView workbookViewId="0">
      <selection activeCell="A4" sqref="A4"/>
    </sheetView>
  </sheetViews>
  <sheetFormatPr defaultRowHeight="15" x14ac:dyDescent="0.25"/>
  <cols>
    <col min="1" max="1" width="24.85546875" bestFit="1" customWidth="1"/>
    <col min="2" max="2" width="15.28515625" bestFit="1" customWidth="1"/>
    <col min="3" max="4" width="7.140625" bestFit="1" customWidth="1"/>
    <col min="5" max="5" width="6.7109375" bestFit="1" customWidth="1"/>
    <col min="6" max="6" width="10.7109375" bestFit="1" customWidth="1"/>
  </cols>
  <sheetData>
    <row r="1" spans="1:6" x14ac:dyDescent="0.25">
      <c r="A1" s="4" t="s">
        <v>0</v>
      </c>
      <c r="B1" t="s">
        <v>9</v>
      </c>
    </row>
    <row r="3" spans="1:6" x14ac:dyDescent="0.25">
      <c r="A3" s="4" t="s">
        <v>8</v>
      </c>
      <c r="B3" s="4" t="s">
        <v>7</v>
      </c>
    </row>
    <row r="4" spans="1:6" x14ac:dyDescent="0.25">
      <c r="A4" s="4" t="s">
        <v>4</v>
      </c>
      <c r="B4" t="s">
        <v>10</v>
      </c>
      <c r="C4" t="s">
        <v>11</v>
      </c>
      <c r="D4" t="s">
        <v>12</v>
      </c>
      <c r="E4" t="s">
        <v>5</v>
      </c>
      <c r="F4" t="s">
        <v>6</v>
      </c>
    </row>
    <row r="5" spans="1:6" x14ac:dyDescent="0.25">
      <c r="A5" s="5">
        <v>273114</v>
      </c>
      <c r="B5" s="6"/>
      <c r="C5" s="6">
        <v>12</v>
      </c>
      <c r="D5" s="6">
        <v>8</v>
      </c>
      <c r="E5" s="6"/>
      <c r="F5" s="6">
        <v>20</v>
      </c>
    </row>
    <row r="6" spans="1:6" x14ac:dyDescent="0.25">
      <c r="A6" s="5">
        <v>273115</v>
      </c>
      <c r="B6" s="6"/>
      <c r="C6" s="6">
        <v>3</v>
      </c>
      <c r="D6" s="6">
        <v>2</v>
      </c>
      <c r="E6" s="6"/>
      <c r="F6" s="6">
        <v>5</v>
      </c>
    </row>
    <row r="7" spans="1:6" x14ac:dyDescent="0.25">
      <c r="A7" s="5" t="s">
        <v>1</v>
      </c>
      <c r="B7" s="6">
        <v>4</v>
      </c>
      <c r="C7" s="6"/>
      <c r="D7" s="6"/>
      <c r="E7" s="6"/>
      <c r="F7" s="6">
        <v>4</v>
      </c>
    </row>
    <row r="8" spans="1:6" x14ac:dyDescent="0.25">
      <c r="A8" s="5" t="s">
        <v>2</v>
      </c>
      <c r="B8" s="6">
        <v>1</v>
      </c>
      <c r="C8" s="6"/>
      <c r="D8" s="6"/>
      <c r="E8" s="6"/>
      <c r="F8" s="6">
        <v>1</v>
      </c>
    </row>
    <row r="9" spans="1:6" x14ac:dyDescent="0.25">
      <c r="A9" s="5" t="s">
        <v>3</v>
      </c>
      <c r="B9" s="6">
        <v>106</v>
      </c>
      <c r="C9" s="6"/>
      <c r="D9" s="6"/>
      <c r="E9" s="6"/>
      <c r="F9" s="6">
        <v>106</v>
      </c>
    </row>
    <row r="10" spans="1:6" x14ac:dyDescent="0.25">
      <c r="A10" s="5" t="s">
        <v>5</v>
      </c>
      <c r="B10" s="6"/>
      <c r="C10" s="6"/>
      <c r="D10" s="6"/>
      <c r="E10" s="6"/>
      <c r="F10" s="6"/>
    </row>
    <row r="11" spans="1:6" x14ac:dyDescent="0.25">
      <c r="A11" s="5" t="s">
        <v>6</v>
      </c>
      <c r="B11" s="6">
        <v>111</v>
      </c>
      <c r="C11" s="6">
        <v>15</v>
      </c>
      <c r="D11" s="6">
        <v>10</v>
      </c>
      <c r="E11" s="6"/>
      <c r="F11" s="6">
        <v>136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2E6D64-685F-442D-8EED-EF8EC1906ABD}">
  <dimension ref="A1:D9"/>
  <sheetViews>
    <sheetView workbookViewId="0">
      <selection activeCell="A2" sqref="A2"/>
    </sheetView>
  </sheetViews>
  <sheetFormatPr defaultRowHeight="15" x14ac:dyDescent="0.25"/>
  <cols>
    <col min="1" max="1" width="30.140625" bestFit="1" customWidth="1"/>
    <col min="2" max="2" width="16.28515625" bestFit="1" customWidth="1"/>
    <col min="3" max="3" width="7.28515625" bestFit="1" customWidth="1"/>
    <col min="4" max="4" width="11.28515625" bestFit="1" customWidth="1"/>
  </cols>
  <sheetData>
    <row r="1" spans="1:4" x14ac:dyDescent="0.25">
      <c r="A1" t="s">
        <v>23</v>
      </c>
    </row>
    <row r="3" spans="1:4" x14ac:dyDescent="0.25">
      <c r="A3" s="4" t="s">
        <v>22</v>
      </c>
      <c r="B3" s="4" t="s">
        <v>7</v>
      </c>
    </row>
    <row r="4" spans="1:4" x14ac:dyDescent="0.25">
      <c r="A4" s="4" t="s">
        <v>4</v>
      </c>
      <c r="B4" t="s">
        <v>21</v>
      </c>
      <c r="C4" t="s">
        <v>5</v>
      </c>
      <c r="D4" t="s">
        <v>6</v>
      </c>
    </row>
    <row r="5" spans="1:4" x14ac:dyDescent="0.25">
      <c r="A5" s="5">
        <v>271151</v>
      </c>
      <c r="B5" s="6">
        <v>21.2</v>
      </c>
      <c r="C5" s="6"/>
      <c r="D5" s="6">
        <v>21.2</v>
      </c>
    </row>
    <row r="6" spans="1:4" x14ac:dyDescent="0.25">
      <c r="A6" s="5">
        <v>273114</v>
      </c>
      <c r="B6" s="6">
        <v>593.5</v>
      </c>
      <c r="C6" s="6"/>
      <c r="D6" s="6">
        <v>593.5</v>
      </c>
    </row>
    <row r="7" spans="1:4" x14ac:dyDescent="0.25">
      <c r="A7" s="5">
        <v>273116</v>
      </c>
      <c r="B7" s="6">
        <v>635.6</v>
      </c>
      <c r="C7" s="6"/>
      <c r="D7" s="6">
        <v>635.6</v>
      </c>
    </row>
    <row r="8" spans="1:4" x14ac:dyDescent="0.25">
      <c r="A8" s="5" t="s">
        <v>5</v>
      </c>
      <c r="B8" s="6"/>
      <c r="C8" s="6">
        <v>1250.3</v>
      </c>
      <c r="D8" s="6">
        <v>1250.3</v>
      </c>
    </row>
    <row r="9" spans="1:4" x14ac:dyDescent="0.25">
      <c r="A9" s="5" t="s">
        <v>6</v>
      </c>
      <c r="B9" s="6">
        <v>1250.3000000000002</v>
      </c>
      <c r="C9" s="6">
        <v>1250.3</v>
      </c>
      <c r="D9" s="6">
        <v>2500.6000000000004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3B376-C984-4961-9CB2-429C07356780}">
  <sheetPr codeName="Sheet27"/>
  <dimension ref="F1:G24"/>
  <sheetViews>
    <sheetView workbookViewId="0">
      <selection sqref="A1:H1048576"/>
    </sheetView>
  </sheetViews>
  <sheetFormatPr defaultRowHeight="15" x14ac:dyDescent="0.25"/>
  <sheetData>
    <row r="1" spans="6:6" x14ac:dyDescent="0.25">
      <c r="F1" s="3"/>
    </row>
    <row r="2" spans="6:6" x14ac:dyDescent="0.25">
      <c r="F2" s="3"/>
    </row>
    <row r="3" spans="6:6" x14ac:dyDescent="0.25">
      <c r="F3" s="3"/>
    </row>
    <row r="4" spans="6:6" x14ac:dyDescent="0.25">
      <c r="F4" s="3"/>
    </row>
    <row r="5" spans="6:6" x14ac:dyDescent="0.25">
      <c r="F5" s="3"/>
    </row>
    <row r="24" spans="7:7" x14ac:dyDescent="0.25">
      <c r="G24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4" name="Option Button 8">
              <controlPr defaultSize="0" autoFill="0" autoLine="0" autoPict="0" macro="[0]!DailyReport">
                <anchor moveWithCells="1">
                  <from>
                    <xdr:col>1</xdr:col>
                    <xdr:colOff>466725</xdr:colOff>
                    <xdr:row>3</xdr:row>
                    <xdr:rowOff>47625</xdr:rowOff>
                  </from>
                  <to>
                    <xdr:col>4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5" name="Option Button 9">
              <controlPr defaultSize="0" autoFill="0" autoLine="0" autoPict="0" macro="[0]!byAccount_Weekly_Amount">
                <anchor moveWithCells="1">
                  <from>
                    <xdr:col>1</xdr:col>
                    <xdr:colOff>466725</xdr:colOff>
                    <xdr:row>5</xdr:row>
                    <xdr:rowOff>38100</xdr:rowOff>
                  </from>
                  <to>
                    <xdr:col>3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Option Button 10">
              <controlPr defaultSize="0" autoFill="0" autoLine="0" autoPict="0" macro="[0]!MonthlyReport">
                <anchor moveWithCells="1">
                  <from>
                    <xdr:col>1</xdr:col>
                    <xdr:colOff>466725</xdr:colOff>
                    <xdr:row>7</xdr:row>
                    <xdr:rowOff>47625</xdr:rowOff>
                  </from>
                  <to>
                    <xdr:col>3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Option Button 11">
              <controlPr defaultSize="0" autoFill="0" autoLine="0" autoPict="0" macro="[0]!ReportByQuarter">
                <anchor moveWithCells="1">
                  <from>
                    <xdr:col>1</xdr:col>
                    <xdr:colOff>466725</xdr:colOff>
                    <xdr:row>9</xdr:row>
                    <xdr:rowOff>28575</xdr:rowOff>
                  </from>
                  <to>
                    <xdr:col>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8" name="Group Box 12">
              <controlPr defaultSize="0" autoFill="0" autoPict="0">
                <anchor moveWithCells="1">
                  <from>
                    <xdr:col>0</xdr:col>
                    <xdr:colOff>266700</xdr:colOff>
                    <xdr:row>2</xdr:row>
                    <xdr:rowOff>85725</xdr:rowOff>
                  </from>
                  <to>
                    <xdr:col>5</xdr:col>
                    <xdr:colOff>9525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9" name="Option Button 13">
              <controlPr defaultSize="0" autoFill="0" autoLine="0" autoPict="0" macro="[0]!VolumeDaily">
                <anchor moveWithCells="1">
                  <from>
                    <xdr:col>8</xdr:col>
                    <xdr:colOff>466725</xdr:colOff>
                    <xdr:row>3</xdr:row>
                    <xdr:rowOff>47625</xdr:rowOff>
                  </from>
                  <to>
                    <xdr:col>11</xdr:col>
                    <xdr:colOff>47625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0" name="Option Button 14">
              <controlPr defaultSize="0" autoFill="0" autoLine="0" autoPict="0" macro="[0]!VolumeWeekly">
                <anchor moveWithCells="1">
                  <from>
                    <xdr:col>8</xdr:col>
                    <xdr:colOff>466725</xdr:colOff>
                    <xdr:row>5</xdr:row>
                    <xdr:rowOff>38100</xdr:rowOff>
                  </from>
                  <to>
                    <xdr:col>10</xdr:col>
                    <xdr:colOff>219075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Option Button 15">
              <controlPr defaultSize="0" autoFill="0" autoLine="0" autoPict="0" macro="[0]!VolumeMonthly">
                <anchor moveWithCells="1">
                  <from>
                    <xdr:col>8</xdr:col>
                    <xdr:colOff>466725</xdr:colOff>
                    <xdr:row>7</xdr:row>
                    <xdr:rowOff>47625</xdr:rowOff>
                  </from>
                  <to>
                    <xdr:col>10</xdr:col>
                    <xdr:colOff>219075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Option Button 16">
              <controlPr defaultSize="0" autoFill="0" autoLine="0" autoPict="0" macro="[0]!VolumeQuarterly">
                <anchor moveWithCells="1">
                  <from>
                    <xdr:col>8</xdr:col>
                    <xdr:colOff>466725</xdr:colOff>
                    <xdr:row>9</xdr:row>
                    <xdr:rowOff>28575</xdr:rowOff>
                  </from>
                  <to>
                    <xdr:col>10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Group Box 17">
              <controlPr defaultSize="0" autoFill="0" autoPict="0">
                <anchor moveWithCells="1">
                  <from>
                    <xdr:col>7</xdr:col>
                    <xdr:colOff>266700</xdr:colOff>
                    <xdr:row>2</xdr:row>
                    <xdr:rowOff>85725</xdr:rowOff>
                  </from>
                  <to>
                    <xdr:col>11</xdr:col>
                    <xdr:colOff>533400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Group Box 18">
              <controlPr defaultSize="0" autoFill="0" autoPict="0">
                <anchor mov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12</xdr:col>
                    <xdr:colOff>514350</xdr:colOff>
                    <xdr:row>16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1</xdr:col>
                    <xdr:colOff>438150</xdr:colOff>
                    <xdr:row>16</xdr:row>
                    <xdr:rowOff>180975</xdr:rowOff>
                  </from>
                  <to>
                    <xdr:col>12</xdr:col>
                    <xdr:colOff>19050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Option Button 21">
              <controlPr defaultSize="0" autoFill="0" autoLine="0" autoPict="0" macro="[0]!DailyReportByID">
                <anchor moveWithCells="1">
                  <from>
                    <xdr:col>2</xdr:col>
                    <xdr:colOff>485775</xdr:colOff>
                    <xdr:row>19</xdr:row>
                    <xdr:rowOff>66675</xdr:rowOff>
                  </from>
                  <to>
                    <xdr:col>5</xdr:col>
                    <xdr:colOff>161925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Option Button 22">
              <controlPr defaultSize="0" autoFill="0" autoLine="0" autoPict="0" macro="[0]!WeeklyReportByIDv2">
                <anchor moveWithCells="1">
                  <from>
                    <xdr:col>2</xdr:col>
                    <xdr:colOff>485775</xdr:colOff>
                    <xdr:row>21</xdr:row>
                    <xdr:rowOff>180975</xdr:rowOff>
                  </from>
                  <to>
                    <xdr:col>4</xdr:col>
                    <xdr:colOff>514350</xdr:colOff>
                    <xdr:row>23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Option Button 23">
              <controlPr defaultSize="0" autoFill="0" autoLine="0" autoPict="0" macro="[0]!MonthlyByIDv3">
                <anchor moveWithCells="1">
                  <from>
                    <xdr:col>2</xdr:col>
                    <xdr:colOff>485775</xdr:colOff>
                    <xdr:row>24</xdr:row>
                    <xdr:rowOff>85725</xdr:rowOff>
                  </from>
                  <to>
                    <xdr:col>6</xdr:col>
                    <xdr:colOff>47625</xdr:colOff>
                    <xdr:row>25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Option Button 24">
              <controlPr defaultSize="0" autoFill="0" autoLine="0" autoPict="0" macro="[0]!QuarterlyByID">
                <anchor moveWithCells="1">
                  <from>
                    <xdr:col>2</xdr:col>
                    <xdr:colOff>485775</xdr:colOff>
                    <xdr:row>26</xdr:row>
                    <xdr:rowOff>76200</xdr:rowOff>
                  </from>
                  <to>
                    <xdr:col>5</xdr:col>
                    <xdr:colOff>190500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Option Button 25">
              <controlPr defaultSize="0" autoFill="0" autoLine="0" autoPict="0" macro="[0]!addDate">
                <anchor moveWithCells="1">
                  <from>
                    <xdr:col>13</xdr:col>
                    <xdr:colOff>314325</xdr:colOff>
                    <xdr:row>3</xdr:row>
                    <xdr:rowOff>0</xdr:rowOff>
                  </from>
                  <to>
                    <xdr:col>16</xdr:col>
                    <xdr:colOff>542925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Option Button 26">
              <controlPr defaultSize="0" autoFill="0" autoLine="0" autoPict="0" macro="[0]!ADDMonthnWeek">
                <anchor moveWithCells="1">
                  <from>
                    <xdr:col>13</xdr:col>
                    <xdr:colOff>333375</xdr:colOff>
                    <xdr:row>5</xdr:row>
                    <xdr:rowOff>142875</xdr:rowOff>
                  </from>
                  <to>
                    <xdr:col>16</xdr:col>
                    <xdr:colOff>542925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Option Button 27">
              <controlPr defaultSize="0" autoFill="0" autoLine="0" autoPict="0" macro="[0]!AccountYearlyReport">
                <anchor moveWithCells="1">
                  <from>
                    <xdr:col>1</xdr:col>
                    <xdr:colOff>466725</xdr:colOff>
                    <xdr:row>11</xdr:row>
                    <xdr:rowOff>28575</xdr:rowOff>
                  </from>
                  <to>
                    <xdr:col>3</xdr:col>
                    <xdr:colOff>161925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Option Button 28">
              <controlPr defaultSize="0" autoFill="0" autoLine="0" autoPict="0" macro="[0]!YearlyReportVolume">
                <anchor moveWithCells="1">
                  <from>
                    <xdr:col>8</xdr:col>
                    <xdr:colOff>485775</xdr:colOff>
                    <xdr:row>11</xdr:row>
                    <xdr:rowOff>28575</xdr:rowOff>
                  </from>
                  <to>
                    <xdr:col>10</xdr:col>
                    <xdr:colOff>285750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Option Button 29">
              <controlPr defaultSize="0" autoFill="0" autoLine="0" autoPict="0" macro="[0]!YearlyReportByID_Volume">
                <anchor moveWithCells="1">
                  <from>
                    <xdr:col>2</xdr:col>
                    <xdr:colOff>495300</xdr:colOff>
                    <xdr:row>28</xdr:row>
                    <xdr:rowOff>104775</xdr:rowOff>
                  </from>
                  <to>
                    <xdr:col>5</xdr:col>
                    <xdr:colOff>104775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Group Box 30">
              <controlPr defaultSize="0" autoFill="0" autoPict="0">
                <anchor moveWithCells="1">
                  <from>
                    <xdr:col>2</xdr:col>
                    <xdr:colOff>304800</xdr:colOff>
                    <xdr:row>19</xdr:row>
                    <xdr:rowOff>19050</xdr:rowOff>
                  </from>
                  <to>
                    <xdr:col>5</xdr:col>
                    <xdr:colOff>600075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Group Box 31">
              <controlPr defaultSize="0" autoFill="0" autoPict="0">
                <anchor moveWithCells="1">
                  <from>
                    <xdr:col>7</xdr:col>
                    <xdr:colOff>333375</xdr:colOff>
                    <xdr:row>18</xdr:row>
                    <xdr:rowOff>180975</xdr:rowOff>
                  </from>
                  <to>
                    <xdr:col>11</xdr:col>
                    <xdr:colOff>28575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Option Button 32">
              <controlPr defaultSize="0" autoFill="0" autoLine="0" autoPict="0" macro="[0]!IDDaily_Amount">
                <anchor moveWithCells="1">
                  <from>
                    <xdr:col>7</xdr:col>
                    <xdr:colOff>581025</xdr:colOff>
                    <xdr:row>20</xdr:row>
                    <xdr:rowOff>66675</xdr:rowOff>
                  </from>
                  <to>
                    <xdr:col>9</xdr:col>
                    <xdr:colOff>457200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Option Button 33">
              <controlPr defaultSize="0" autoFill="0" autoLine="0" autoPict="0" macro="[0]!WeeklyID_Amount">
                <anchor moveWithCells="1">
                  <from>
                    <xdr:col>7</xdr:col>
                    <xdr:colOff>571500</xdr:colOff>
                    <xdr:row>22</xdr:row>
                    <xdr:rowOff>76200</xdr:rowOff>
                  </from>
                  <to>
                    <xdr:col>9</xdr:col>
                    <xdr:colOff>295275</xdr:colOff>
                    <xdr:row>23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Option Button 34">
              <controlPr defaultSize="0" autoFill="0" autoLine="0" autoPict="0" macro="[0]!MonthlyByID_Amount">
                <anchor moveWithCells="1">
                  <from>
                    <xdr:col>7</xdr:col>
                    <xdr:colOff>561975</xdr:colOff>
                    <xdr:row>24</xdr:row>
                    <xdr:rowOff>66675</xdr:rowOff>
                  </from>
                  <to>
                    <xdr:col>9</xdr:col>
                    <xdr:colOff>409575</xdr:colOff>
                    <xdr:row>25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Option Button 35">
              <controlPr defaultSize="0" autoFill="0" autoLine="0" autoPict="0" macro="[0]!QuarterlyByid_amount">
                <anchor moveWithCells="1">
                  <from>
                    <xdr:col>7</xdr:col>
                    <xdr:colOff>561975</xdr:colOff>
                    <xdr:row>26</xdr:row>
                    <xdr:rowOff>85725</xdr:rowOff>
                  </from>
                  <to>
                    <xdr:col>9</xdr:col>
                    <xdr:colOff>352425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Option Button 36">
              <controlPr defaultSize="0" autoFill="0" autoLine="0" autoPict="0" macro="[0]!YearlyByID_Amount">
                <anchor moveWithCells="1">
                  <from>
                    <xdr:col>7</xdr:col>
                    <xdr:colOff>552450</xdr:colOff>
                    <xdr:row>28</xdr:row>
                    <xdr:rowOff>66675</xdr:rowOff>
                  </from>
                  <to>
                    <xdr:col>9</xdr:col>
                    <xdr:colOff>409575</xdr:colOff>
                    <xdr:row>29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Sheet20</vt:lpstr>
      <vt:lpstr>Sheet21</vt:lpstr>
      <vt:lpstr>Sheet2</vt:lpstr>
      <vt:lpstr>SelectRadioButton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Hafiz Vazeer</dc:creator>
  <cp:lastModifiedBy>SitiBot</cp:lastModifiedBy>
  <dcterms:created xsi:type="dcterms:W3CDTF">2020-07-07T09:29:51Z</dcterms:created>
  <dcterms:modified xsi:type="dcterms:W3CDTF">2020-09-08T03:41:50Z</dcterms:modified>
</cp:coreProperties>
</file>